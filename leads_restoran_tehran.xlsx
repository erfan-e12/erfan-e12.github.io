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_rels/sheet2.xml.rels" ContentType="application/vnd.openxmlformats-package.relationship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راهنما" sheetId="1" state="visible" r:id="rId3"/>
    <sheet name="لیدها" sheetId="2" state="visible" r:id="rId4"/>
    <sheet name="خلاصه مناطق" sheetId="3" state="visible" r:id="rId5"/>
  </sheets>
  <definedNames>
    <definedName function="false" hidden="true" localSheetId="1" name="_xlnm._FilterDatabase" vbProcedure="false">لیدها!$A$1:$L$135</definedName>
  </definedName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<sst xmlns="http://schemas.openxmlformats.org/spreadsheetml/2006/main" count="1044" uniqueCount="499">
  <si>
    <t xml:space="preserve">لیست لیدهای رستوران‌های تهران — تیم فروش</t>
  </si>
  <si>
    <t xml:space="preserve">تاریخ ساخت فایل: 2026-08-27</t>
  </si>
  <si>
    <t xml:space="preserve">منبع داده: گوگل‌مپ (جستجوی مرورگر)</t>
  </si>
  <si>
    <t xml:space="preserve">پوشش: هر ۲۲ منطقه تهران — یک جستجوی کلی برای هر منطقه (۶ نتیجه اول)</t>
  </si>
  <si>
    <t xml:space="preserve">این یعنی چه؟</t>
  </si>
  <si>
    <t xml:space="preserve">جمعاً حدود ۱۳۰ رستوران در شیت «لیدها» هست: ۶ رستوران نمونه از هر منطقه.</t>
  </si>
  <si>
    <t xml:space="preserve">این یک نمونه‌ی نماینده از هر منطقه است، نه فهرست کامل همه‌ی رستوران‌های آن منطقه —</t>
  </si>
  <si>
    <t xml:space="preserve">در واقعیت هر منطقه ده‌ها تا صدها رستوران دارد. گوگل‌مپ برای هر جستجو حداکثر همین چند نتیجه اول را</t>
  </si>
  <si>
    <t xml:space="preserve">بدون اسکرول/زوم بیشتر برمی‌گرداند، چون جستجو بر اساس محدوده‌ی نقشه است نه مرز اداری منطقه.</t>
  </si>
  <si>
    <t xml:space="preserve">محدودیت‌های شناخته‌شده:</t>
  </si>
  <si>
    <t xml:space="preserve">۱. شماره تلفن فقط برای بعضی رستوران‌ها در نتایج اولیه نمایش داده می‌شود (بقیه باید تک‌تک باز شوند).</t>
  </si>
  <si>
    <t xml:space="preserve">۲. برای پوشش کامل‌تر هر منطقه، باید per منطقه چند جستجوی محله‌ای/خیابانی جدا انجام شود و لیست اسکرول شود؛</t>
  </si>
  <si>
    <t xml:space="preserve">   این کار تعداد رستوران‌ها را چند برابر می‌کند ولی به همان نسبت درخواست مرورگر بیشتری لازم دارد.</t>
  </si>
  <si>
    <t xml:space="preserve">۳. اجرای خودکار هفتگی از طریق مرورگر Chrome فقط وقتی کار می‌کند که دسکتاپ کلود در لحظه‌ی اجرا</t>
  </si>
  <si>
    <t xml:space="preserve">   به مرورگر متصل باشد؛ در غیر این صورت آن اجرای خودکار داده‌ای جمع نمی‌کند.</t>
  </si>
  <si>
    <t xml:space="preserve">برای مرحله‌ی بعد یکی را انتخاب کنید:</t>
  </si>
  <si>
    <t xml:space="preserve">الف) عمیق‌تر کردن همین منطقه‌ها — چند جستجوی محله‌ای اضافه به ازای هر منطقه (باز هم دستی/مرورگر، دقیق‌تر ولی کندتر).</t>
  </si>
  <si>
    <t xml:space="preserve">ب) اتصال Google Places API (نیاز به ثبت‌نام و پرداخت به گوگل) — پوشش کامل، تلفن دقیق، مناسب برای اجرای خودکار هفتگی واقعی بدون وابستگی به مرورگر باز.</t>
  </si>
  <si>
    <t xml:space="preserve">ستون‌های شیت «لیدها»:</t>
  </si>
  <si>
    <t xml:space="preserve">منطقه، نام رستوران، دسته‌بندی، امتیاز، تعداد نظرات، رده قیمت، آدرس، لینک گوگل‌مپ، تلفن، وضعیت لید، یادداشت، تاریخ جمع‌آوری</t>
  </si>
  <si>
    <t xml:space="preserve">منطقه</t>
  </si>
  <si>
    <t xml:space="preserve">نام رستوران</t>
  </si>
  <si>
    <t xml:space="preserve">دسته‌بندی</t>
  </si>
  <si>
    <t xml:space="preserve">امتیاز</t>
  </si>
  <si>
    <t xml:space="preserve">تعداد نظرات</t>
  </si>
  <si>
    <t xml:space="preserve">رده قیمت</t>
  </si>
  <si>
    <t xml:space="preserve">آدرس</t>
  </si>
  <si>
    <t xml:space="preserve">لینک گوگل‌مپ</t>
  </si>
  <si>
    <t xml:space="preserve">تلفن</t>
  </si>
  <si>
    <t xml:space="preserve">وضعیت لید</t>
  </si>
  <si>
    <t xml:space="preserve">یادداشت</t>
  </si>
  <si>
    <t xml:space="preserve">تاریخ جمع‌آوری</t>
  </si>
  <si>
    <t xml:space="preserve">۱</t>
  </si>
  <si>
    <t xml:space="preserve">Divan Restaurant</t>
  </si>
  <si>
    <t xml:space="preserve">ایرانی</t>
  </si>
  <si>
    <t xml:space="preserve">Fereshteh St, QCPH+H7W</t>
  </si>
  <si>
    <t xml:space="preserve">https://www.google.com/maps/search/Divan+Restaurant+منطقه+۱+تهران</t>
  </si>
  <si>
    <t xml:space="preserve">لید جدید</t>
  </si>
  <si>
    <t xml:space="preserve">2026-08-27</t>
  </si>
  <si>
    <t xml:space="preserve">Mestooran Restaurant</t>
  </si>
  <si>
    <t xml:space="preserve">Bahonar St, RF69+GJ6</t>
  </si>
  <si>
    <t xml:space="preserve">https://www.google.com/maps/search/Mestooran+Restaurant+منطقه+۱+تهران</t>
  </si>
  <si>
    <t xml:space="preserve">Rodizio Brazilian Restaurant</t>
  </si>
  <si>
    <t xml:space="preserve">برزیلی</t>
  </si>
  <si>
    <t xml:space="preserve">Moqadas Ardabili St, QCPF+PM8</t>
  </si>
  <si>
    <t xml:space="preserve">https://www.google.com/maps/search/Rodizio+Brazilian+Restaurant+منطقه+۱+تهران</t>
  </si>
  <si>
    <t xml:space="preserve">Asil Restaurant</t>
  </si>
  <si>
    <t xml:space="preserve">۱ تا ۲ میلیون تومان</t>
  </si>
  <si>
    <t xml:space="preserve">QCX6+24F</t>
  </si>
  <si>
    <t xml:space="preserve">https://www.google.com/maps/search/Asil+Restaurant+منطقه+۱+تهران</t>
  </si>
  <si>
    <t xml:space="preserve">Aghdasieh Restaurant</t>
  </si>
  <si>
    <t xml:space="preserve">رستوران</t>
  </si>
  <si>
    <t xml:space="preserve">خیابان اقدسیه، Artesh Hwy, پلاک ۸، RF2P+52X</t>
  </si>
  <si>
    <t xml:space="preserve">https://www.google.com/maps/search/Aghdasieh+Restaurant+منطقه+۱+تهران</t>
  </si>
  <si>
    <t xml:space="preserve">Shandiz Galleria Restaurant</t>
  </si>
  <si>
    <t xml:space="preserve">RC54+37P</t>
  </si>
  <si>
    <t xml:space="preserve">https://www.google.com/maps/search/Shandiz+Galleria+Restaurant+منطقه+۱+تهران</t>
  </si>
  <si>
    <t xml:space="preserve">۲</t>
  </si>
  <si>
    <t xml:space="preserve">رستوران رژیمی باروکال</t>
  </si>
  <si>
    <t xml:space="preserve">۱ تا ۶ میلیون تومان</t>
  </si>
  <si>
    <t xml:space="preserve">سعادت‌آباد، میدان کاج، خیابان سرو شرقی، خیابان مجد، کوچه نسترن، پلاک ۴۱</t>
  </si>
  <si>
    <t xml:space="preserve">https://www.google.com/maps/search/رستوران+رژیمی+باروکال+منطقه+۲+تهران</t>
  </si>
  <si>
    <t xml:space="preserve">Tehran Been Restaurant</t>
  </si>
  <si>
    <t xml:space="preserve">۱ میلیون تومان</t>
  </si>
  <si>
    <t xml:space="preserve">17th St, Q9G7+5PC</t>
  </si>
  <si>
    <t xml:space="preserve">https://www.google.com/maps/search/Tehran+Been+Restaurant+منطقه+۲+تهران</t>
  </si>
  <si>
    <t xml:space="preserve">Nayeb Restaurant</t>
  </si>
  <si>
    <t xml:space="preserve">Shahid Hassan Tehrani Moghadam Sq, Q9JG+W55</t>
  </si>
  <si>
    <t xml:space="preserve">https://www.google.com/maps/search/Nayeb+Restaurant+منطقه+۲+تهران</t>
  </si>
  <si>
    <t xml:space="preserve">Goli Khanum Restaurant</t>
  </si>
  <si>
    <t xml:space="preserve">Shahrdari, No. 6</t>
  </si>
  <si>
    <t xml:space="preserve">https://www.google.com/maps/search/Goli+Khanum+Restaurant+منطقه+۲+تهران</t>
  </si>
  <si>
    <t xml:space="preserve">Morshed Restaurant</t>
  </si>
  <si>
    <t xml:space="preserve">بالای ۱۰ میلیون تومان</t>
  </si>
  <si>
    <t xml:space="preserve">Q9HG+W48</t>
  </si>
  <si>
    <t xml:space="preserve">https://www.google.com/maps/search/Morshed+Restaurant+منطقه+۲+تهران</t>
  </si>
  <si>
    <t xml:space="preserve">Mahiye Khoob Restaurant</t>
  </si>
  <si>
    <t xml:space="preserve">غذاهای دریایی</t>
  </si>
  <si>
    <t xml:space="preserve">W Sarv Blvd, Q9H6+79J</t>
  </si>
  <si>
    <t xml:space="preserve">https://www.google.com/maps/search/Mahiye+Khoob+Restaurant+منطقه+۲+تهران</t>
  </si>
  <si>
    <t xml:space="preserve">۳</t>
  </si>
  <si>
    <t xml:space="preserve">Orkideh Restaurant</t>
  </si>
  <si>
    <t xml:space="preserve">Dr Mohammad Mosaddegh St, QC8H+FQ9</t>
  </si>
  <si>
    <t xml:space="preserve">https://www.google.com/maps/search/Orkideh+Restaurant+منطقه+۳+تهران</t>
  </si>
  <si>
    <t xml:space="preserve">Mada'in Arabic Restaurant &amp; Café</t>
  </si>
  <si>
    <t xml:space="preserve">خاورمیانه‌ای</t>
  </si>
  <si>
    <t xml:space="preserve">QC9H+PCR</t>
  </si>
  <si>
    <t xml:space="preserve">https://www.google.com/maps/search/Mada'in+Arabic+Restaurant+&amp;+Café+منطقه+۳+تهران</t>
  </si>
  <si>
    <t xml:space="preserve">Parla Italian Restaurant</t>
  </si>
  <si>
    <t xml:space="preserve">ایتالیایی</t>
  </si>
  <si>
    <t xml:space="preserve">W Zayandeh Rood St, No. 7</t>
  </si>
  <si>
    <t xml:space="preserve">https://www.google.com/maps/search/Parla+Italian+Restaurant+منطقه+۳+تهران</t>
  </si>
  <si>
    <t xml:space="preserve">Shandiz Jordan Restaurant</t>
  </si>
  <si>
    <t xml:space="preserve">Saba Blvd, QCCF+F44</t>
  </si>
  <si>
    <t xml:space="preserve">https://www.google.com/maps/search/Shandiz+Jordan+Restaurant+منطقه+۳+تهران</t>
  </si>
  <si>
    <t xml:space="preserve">Nouvelle Restaurant</t>
  </si>
  <si>
    <t xml:space="preserve">خیابان جردن، بلوار آرش غربی، پلاک ۱۱</t>
  </si>
  <si>
    <t xml:space="preserve">https://www.google.com/maps/search/Nouvelle+Restaurant+منطقه+۳+تهران</t>
  </si>
  <si>
    <t xml:space="preserve">Mohammad restaurant</t>
  </si>
  <si>
    <t xml:space="preserve">کباب‌فروشی</t>
  </si>
  <si>
    <t xml:space="preserve">۱ تا ۵ میلیون تومان</t>
  </si>
  <si>
    <t xml:space="preserve">Kolahdooz St, QCHX+W37</t>
  </si>
  <si>
    <t xml:space="preserve">https://www.google.com/maps/search/Mohammad+restaurant+منطقه+۳+تهران</t>
  </si>
  <si>
    <t xml:space="preserve">۴</t>
  </si>
  <si>
    <t xml:space="preserve">رستوران سید جلال</t>
  </si>
  <si>
    <t xml:space="preserve">8th Negarestan St, QF54+2H8</t>
  </si>
  <si>
    <t xml:space="preserve">https://www.google.com/maps/search/رستوران+سید+جلال+منطقه+۴+تهران</t>
  </si>
  <si>
    <t xml:space="preserve">Piyaleh Resturant</t>
  </si>
  <si>
    <t xml:space="preserve">۱ تا ۳ میلیون تومان</t>
  </si>
  <si>
    <t xml:space="preserve">N Ostad Hasan Banna Ave, QF2F+VWV</t>
  </si>
  <si>
    <t xml:space="preserve">https://www.google.com/maps/search/Piyaleh+Resturant+منطقه+۴+تهران</t>
  </si>
  <si>
    <t xml:space="preserve">133 Restaurant</t>
  </si>
  <si>
    <t xml:space="preserve">Resalat Hwy, PGJC+WPQ</t>
  </si>
  <si>
    <t xml:space="preserve">https://www.google.com/maps/search/133+Restaurant+منطقه+۴+تهران</t>
  </si>
  <si>
    <t xml:space="preserve">کافه رستوران کرنج</t>
  </si>
  <si>
    <t xml:space="preserve">تهرانپارس، خیابان ساقدوش، بعد از کوچه یاس</t>
  </si>
  <si>
    <t xml:space="preserve">https://www.google.com/maps/search/کافه+رستوران+کرنج+منطقه+۴+تهران</t>
  </si>
  <si>
    <t xml:space="preserve">Roof Lounge</t>
  </si>
  <si>
    <t xml:space="preserve">3rd Sq Tehranpars, PGWP+65C</t>
  </si>
  <si>
    <t xml:space="preserve">https://www.google.com/maps/search/Roof+Lounge+منطقه+۴+تهران</t>
  </si>
  <si>
    <t xml:space="preserve">Babakhani Restaurant</t>
  </si>
  <si>
    <t xml:space="preserve">QC2X+8MP</t>
  </si>
  <si>
    <t xml:space="preserve">https://www.google.com/maps/search/Babakhani+Restaurant+منطقه+۴+تهران</t>
  </si>
  <si>
    <t xml:space="preserve">۵</t>
  </si>
  <si>
    <t xml:space="preserve">Kandoo Restaurant</t>
  </si>
  <si>
    <t xml:space="preserve">۲ تا ۳ میلیون تومان</t>
  </si>
  <si>
    <t xml:space="preserve">مطهری، Q8CJ+2WG</t>
  </si>
  <si>
    <t xml:space="preserve">https://www.google.com/maps/search/Kandoo+Restaurant+منطقه+۵+تهران</t>
  </si>
  <si>
    <t xml:space="preserve">Nesen Grill restaurant</t>
  </si>
  <si>
    <t xml:space="preserve">P8PH+JFJ</t>
  </si>
  <si>
    <t xml:space="preserve">https://www.google.com/maps/search/Nesen+Grill+restaurant+منطقه+۵+تهران</t>
  </si>
  <si>
    <t xml:space="preserve">باغ رستوران شادی</t>
  </si>
  <si>
    <t xml:space="preserve">Q76C+CJ3</t>
  </si>
  <si>
    <t xml:space="preserve">https://www.google.com/maps/search/باغ+رستوران+شادی+منطقه+۵+تهران</t>
  </si>
  <si>
    <t xml:space="preserve">Laleh Garden Restaurant</t>
  </si>
  <si>
    <t xml:space="preserve">۲ تا ۸ میلیون تومان</t>
  </si>
  <si>
    <t xml:space="preserve">Adl Blvd, Q86J+R59</t>
  </si>
  <si>
    <t xml:space="preserve">https://www.google.com/maps/search/Laleh+Garden+Restaurant+منطقه+۵+تهران</t>
  </si>
  <si>
    <t xml:space="preserve">Hoveyzeh Restaurant</t>
  </si>
  <si>
    <t xml:space="preserve">Q88Q+43W</t>
  </si>
  <si>
    <t xml:space="preserve">https://www.google.com/maps/search/Hoveyzeh+Restaurant+منطقه+۵+تهران</t>
  </si>
  <si>
    <t xml:space="preserve">Dees Restaurant</t>
  </si>
  <si>
    <t xml:space="preserve">Mirzababaei Blvd, No. ۱۶</t>
  </si>
  <si>
    <t xml:space="preserve">https://www.google.com/maps/search/Dees+Restaurant+منطقه+۵+تهران</t>
  </si>
  <si>
    <t xml:space="preserve">۶</t>
  </si>
  <si>
    <t xml:space="preserve">Alvand St, PCQ7+3XC</t>
  </si>
  <si>
    <t xml:space="preserve">https://www.google.com/maps/search/Orkideh+Restaurant+منطقه+۶+تهران</t>
  </si>
  <si>
    <t xml:space="preserve">Khaneh Koochak Restaurant</t>
  </si>
  <si>
    <t xml:space="preserve">P98P+4GW</t>
  </si>
  <si>
    <t xml:space="preserve">https://www.google.com/maps/search/Khaneh+Koochak+Restaurant+منطقه+۶+تهران</t>
  </si>
  <si>
    <t xml:space="preserve">Grill Garden</t>
  </si>
  <si>
    <t xml:space="preserve">PCW6+3V3</t>
  </si>
  <si>
    <t xml:space="preserve">https://www.google.com/maps/search/Grill+Garden+منطقه+۶+تهران</t>
  </si>
  <si>
    <t xml:space="preserve">Sadr-e Tehran</t>
  </si>
  <si>
    <t xml:space="preserve">26th St, No. 07</t>
  </si>
  <si>
    <t xml:space="preserve">https://www.google.com/maps/search/Sadr-e+Tehran+منطقه+۶+تهران</t>
  </si>
  <si>
    <t xml:space="preserve">Nayeb Vozara</t>
  </si>
  <si>
    <t xml:space="preserve">Vozara St, PCM7+2PM</t>
  </si>
  <si>
    <t xml:space="preserve">https://www.google.com/maps/search/Nayeb+Vozara+منطقه+۶+تهران</t>
  </si>
  <si>
    <t xml:space="preserve">Safa Restaurant</t>
  </si>
  <si>
    <t xml:space="preserve">۴ تا ۵ میلیون تومان</t>
  </si>
  <si>
    <t xml:space="preserve">N Kargar, P92R+Q89</t>
  </si>
  <si>
    <t xml:space="preserve">https://www.google.com/maps/search/Safa+Restaurant+منطقه+۶+تهران</t>
  </si>
  <si>
    <t xml:space="preserve">۷</t>
  </si>
  <si>
    <t xml:space="preserve">Dehbashian Restaurant</t>
  </si>
  <si>
    <t xml:space="preserve">S Sohrevardi, PCFP+F64</t>
  </si>
  <si>
    <t xml:space="preserve">https://www.google.com/maps/search/Dehbashian+Restaurant+منطقه+۷+تهران</t>
  </si>
  <si>
    <t xml:space="preserve">https://www.google.com/maps/search/Orkideh+Restaurant+منطقه+۷+تهران</t>
  </si>
  <si>
    <t xml:space="preserve">Zarech Restaurant</t>
  </si>
  <si>
    <t xml:space="preserve">Sabounchi St, PCJM+Q47</t>
  </si>
  <si>
    <t xml:space="preserve">https://www.google.com/maps/search/Zarech+Restaurant+منطقه+۷+تهران</t>
  </si>
  <si>
    <t xml:space="preserve">Khan Restaurant</t>
  </si>
  <si>
    <t xml:space="preserve">PCPJ+62Q</t>
  </si>
  <si>
    <t xml:space="preserve">https://www.google.com/maps/search/Khan+Restaurant+منطقه+۷+تهران</t>
  </si>
  <si>
    <t xml:space="preserve">تهیه غذای قاشق</t>
  </si>
  <si>
    <t xml:space="preserve">رستوران بیرون‌بر</t>
  </si>
  <si>
    <t xml:space="preserve">N Sohrevardi Ave</t>
  </si>
  <si>
    <t xml:space="preserve">https://www.google.com/maps/search/تهیه+غذای+قاشق+منطقه+۷+تهران</t>
  </si>
  <si>
    <t xml:space="preserve">Delzhin Restaurant</t>
  </si>
  <si>
    <t xml:space="preserve">Khorramshahr St, No. 40</t>
  </si>
  <si>
    <t xml:space="preserve">https://www.google.com/maps/search/Delzhin+Restaurant+منطقه+۷+تهران</t>
  </si>
  <si>
    <t xml:space="preserve">۸</t>
  </si>
  <si>
    <t xml:space="preserve">Shila</t>
  </si>
  <si>
    <t xml:space="preserve">فست فود</t>
  </si>
  <si>
    <t xml:space="preserve">خیابان گلبرگ شرقی، میدان هفت حوض، پلاک ۳۹۹</t>
  </si>
  <si>
    <t xml:space="preserve">https://www.google.com/maps/search/Shila+منطقه+۸+تهران</t>
  </si>
  <si>
    <t xml:space="preserve">رستوران برکت (دهکده غذایی برکت)</t>
  </si>
  <si>
    <t xml:space="preserve">Bakhtiyari St</t>
  </si>
  <si>
    <t xml:space="preserve">https://www.google.com/maps/search/رستوران+برکت+(دهکده+غذایی+برکت)+منطقه+۸+تهران</t>
  </si>
  <si>
    <t xml:space="preserve">رستوران جوانان</t>
  </si>
  <si>
    <t xml:space="preserve">Soltani Mehr St, PGG2+33W</t>
  </si>
  <si>
    <t xml:space="preserve">https://www.google.com/maps/search/رستوران+جوانان+منطقه+۸+تهران</t>
  </si>
  <si>
    <t xml:space="preserve">کافه و رستوران گردو</t>
  </si>
  <si>
    <t xml:space="preserve">Heydari St, PFF8+GVQ</t>
  </si>
  <si>
    <t xml:space="preserve">https://www.google.com/maps/search/کافه+و+رستوران+گردو+منطقه+۸+تهران</t>
  </si>
  <si>
    <t xml:space="preserve">Amir Kabab</t>
  </si>
  <si>
    <t xml:space="preserve">PFJ7+7WG</t>
  </si>
  <si>
    <t xml:space="preserve">https://www.google.com/maps/search/Amir+Kabab+منطقه+۸+تهران</t>
  </si>
  <si>
    <t xml:space="preserve">Narmak Park Restaurant</t>
  </si>
  <si>
    <t xml:space="preserve">Dr Ayat St, PFHV+86H</t>
  </si>
  <si>
    <t xml:space="preserve">https://www.google.com/maps/search/Narmak+Park+Restaurant+منطقه+۸+تهران</t>
  </si>
  <si>
    <t xml:space="preserve">۹</t>
  </si>
  <si>
    <t xml:space="preserve">Yaran restaurant</t>
  </si>
  <si>
    <t xml:space="preserve">M8GG+JW6</t>
  </si>
  <si>
    <t xml:space="preserve">https://www.google.com/maps/search/Yaran+restaurant+منطقه+۹+تهران</t>
  </si>
  <si>
    <t xml:space="preserve">کترینگ کاخ</t>
  </si>
  <si>
    <t xml:space="preserve">21 Metri-e Jey</t>
  </si>
  <si>
    <t xml:space="preserve">https://www.google.com/maps/search/کترینگ+کاخ+منطقه+۹+تهران</t>
  </si>
  <si>
    <t xml:space="preserve">Shila Fast Food</t>
  </si>
  <si>
    <t xml:space="preserve">M8WW+8M8</t>
  </si>
  <si>
    <t xml:space="preserve">https://www.google.com/maps/search/Shila+Fast+Food+منطقه+۹+تهران</t>
  </si>
  <si>
    <t xml:space="preserve">Ferodig</t>
  </si>
  <si>
    <t xml:space="preserve">خیابان دانشگاه هوایی شمالی، M8GP+PGW</t>
  </si>
  <si>
    <t xml:space="preserve">https://www.google.com/maps/search/Ferodig+منطقه+۹+تهران</t>
  </si>
  <si>
    <t xml:space="preserve">کافه رستوران قصرالشمس</t>
  </si>
  <si>
    <t xml:space="preserve">کافی شاپ</t>
  </si>
  <si>
    <t xml:space="preserve">M9P3+6MC</t>
  </si>
  <si>
    <t xml:space="preserve">https://www.google.com/maps/search/کافه+رستوران+قصرالشمس+منطقه+۹+تهران</t>
  </si>
  <si>
    <t xml:space="preserve">کبابی المهدی</t>
  </si>
  <si>
    <t xml:space="preserve">Shamshiri St, M8FV+P4R</t>
  </si>
  <si>
    <t xml:space="preserve">https://www.google.com/maps/search/کبابی+المهدی+منطقه+۹+تهران</t>
  </si>
  <si>
    <t xml:space="preserve">۱۰</t>
  </si>
  <si>
    <t xml:space="preserve">Maho Mehr Indian Restaurant</t>
  </si>
  <si>
    <t xml:space="preserve">هندی</t>
  </si>
  <si>
    <t xml:space="preserve">کوچه میرصانعی، M9V9+HVX</t>
  </si>
  <si>
    <t xml:space="preserve">https://www.google.com/maps/search/Maho+Mehr+Indian+Restaurant+منطقه+۱۰+تهران</t>
  </si>
  <si>
    <t xml:space="preserve">رستوران هانی نو</t>
  </si>
  <si>
    <t xml:space="preserve">۲ تا ۷ میلیون تومان</t>
  </si>
  <si>
    <t xml:space="preserve">Imam Khomeini St, M9P6+J3G</t>
  </si>
  <si>
    <t xml:space="preserve">https://www.google.com/maps/search/رستوران+هانی+نو+منطقه+۱۰+تهران</t>
  </si>
  <si>
    <t xml:space="preserve">رستوران خاتون</t>
  </si>
  <si>
    <t xml:space="preserve">سلسبیل، M9RG+7GC</t>
  </si>
  <si>
    <t xml:space="preserve">https://www.google.com/maps/search/رستوران+خاتون+منطقه+۱۰+تهران</t>
  </si>
  <si>
    <t xml:space="preserve">Jasbi Restaurant</t>
  </si>
  <si>
    <t xml:space="preserve">خیابان امام خمینی، بین قصرالدشت، پلاک ۶۲۹</t>
  </si>
  <si>
    <t xml:space="preserve">https://www.google.com/maps/search/Jasbi+Restaurant+منطقه+۱۰+تهران</t>
  </si>
  <si>
    <t xml:space="preserve">Ghoncheh Restaurant</t>
  </si>
  <si>
    <t xml:space="preserve">M9P8+6R3</t>
  </si>
  <si>
    <t xml:space="preserve">https://www.google.com/maps/search/Ghoncheh+Restaurant+منطقه+۱۰+تهران</t>
  </si>
  <si>
    <t xml:space="preserve">Narenj Restaurant</t>
  </si>
  <si>
    <t xml:space="preserve">کباب بریان</t>
  </si>
  <si>
    <t xml:space="preserve">M9W9+4R5</t>
  </si>
  <si>
    <t xml:space="preserve">https://www.google.com/maps/search/Narenj+Restaurant+منطقه+۱۰+تهران</t>
  </si>
  <si>
    <t xml:space="preserve">۱۱</t>
  </si>
  <si>
    <t xml:space="preserve">رستوران بهارنو</t>
  </si>
  <si>
    <t xml:space="preserve">کارگر جنوبی، چهارراه لشکر، خیابان کمالی، پلاک ۱۱۳</t>
  </si>
  <si>
    <t xml:space="preserve">https://www.google.com/maps/search/رستوران+بهارنو+منطقه+۱۱+تهران</t>
  </si>
  <si>
    <t xml:space="preserve">Arasbaran Persian Restaurant</t>
  </si>
  <si>
    <t xml:space="preserve">MCH2+6WJ</t>
  </si>
  <si>
    <t xml:space="preserve">https://www.google.com/maps/search/Arasbaran+Persian+Restaurant+منطقه+۱۱+تهران</t>
  </si>
  <si>
    <t xml:space="preserve">Sepidar Restaurant</t>
  </si>
  <si>
    <t xml:space="preserve">Kamali St</t>
  </si>
  <si>
    <t xml:space="preserve">https://www.google.com/maps/search/Sepidar+Restaurant+منطقه+۱۱+تهران</t>
  </si>
  <si>
    <t xml:space="preserve">کافه رستوران سنتی قصر ایرانیان</t>
  </si>
  <si>
    <t xml:space="preserve">M9WJ+J8X</t>
  </si>
  <si>
    <t xml:space="preserve">https://www.google.com/maps/search/کافه+رستوران+سنتی+قصر+ایرانیان+منطقه+۱۱+تهران</t>
  </si>
  <si>
    <t xml:space="preserve">Mahoor Restaurant</t>
  </si>
  <si>
    <t xml:space="preserve">ولیعصر و شیخ هادی، جنب فروشگاه رفاه، پلاک ۷۵۷</t>
  </si>
  <si>
    <t xml:space="preserve">https://www.google.com/maps/search/Mahoor+Restaurant+منطقه+۱۱+تهران</t>
  </si>
  <si>
    <t xml:space="preserve">Monirieh Restaurant</t>
  </si>
  <si>
    <t xml:space="preserve">منیریه، منطقه ۱۱</t>
  </si>
  <si>
    <t xml:space="preserve">https://www.google.com/maps/search/Monirieh+Restaurant+منطقه+۱۱+تهران</t>
  </si>
  <si>
    <t xml:space="preserve">۱۲</t>
  </si>
  <si>
    <t xml:space="preserve">Haj Abdullah kebab</t>
  </si>
  <si>
    <t xml:space="preserve">۵ تا ۶ میلیون تومان</t>
  </si>
  <si>
    <t xml:space="preserve">گل محمدی، منطقه ۱۲، روبروی Iran St</t>
  </si>
  <si>
    <t xml:space="preserve">https://www.google.com/maps/search/Haj+Abdullah+kebab+منطقه+۱۲+تهران</t>
  </si>
  <si>
    <t xml:space="preserve">Khayyam Traditional Restaurant</t>
  </si>
  <si>
    <t xml:space="preserve">Khayyam St, MCF8+2JH</t>
  </si>
  <si>
    <t xml:space="preserve">https://www.google.com/maps/search/Khayyam+Traditional+Restaurant+منطقه+۱۲+تهران</t>
  </si>
  <si>
    <t xml:space="preserve">رستوران ایتالیایی شادی</t>
  </si>
  <si>
    <t xml:space="preserve">MCXQ+M7P</t>
  </si>
  <si>
    <t xml:space="preserve">https://www.google.com/maps/search/رستوران+ایتالیایی+شادی+منطقه+۱۲+تهران</t>
  </si>
  <si>
    <t xml:space="preserve">Dorchin Restaurant</t>
  </si>
  <si>
    <t xml:space="preserve">MCWG+X97</t>
  </si>
  <si>
    <t xml:space="preserve">https://www.google.com/maps/search/Dorchin+Restaurant+منطقه+۱۲+تهران</t>
  </si>
  <si>
    <t xml:space="preserve">Tilit Restaurant</t>
  </si>
  <si>
    <t xml:space="preserve">Mesbah, MCWG+W79</t>
  </si>
  <si>
    <t xml:space="preserve">https://www.google.com/maps/search/Tilit+Restaurant+منطقه+۱۲+تهران</t>
  </si>
  <si>
    <t xml:space="preserve">Qadah Restaurant</t>
  </si>
  <si>
    <t xml:space="preserve">MCC9+Q25</t>
  </si>
  <si>
    <t xml:space="preserve">https://www.google.com/maps/search/Qadah+Restaurant+منطقه+۱۲+تهران</t>
  </si>
  <si>
    <t xml:space="preserve">۱۳</t>
  </si>
  <si>
    <t xml:space="preserve">Restaurant Emami</t>
  </si>
  <si>
    <t xml:space="preserve">PF33+778</t>
  </si>
  <si>
    <t xml:space="preserve">https://www.google.com/maps/search/Restaurant+Emami+منطقه+۱۳+تهران</t>
  </si>
  <si>
    <t xml:space="preserve">Shafiee Restaurant</t>
  </si>
  <si>
    <t xml:space="preserve">PF6H+9JH</t>
  </si>
  <si>
    <t xml:space="preserve">https://www.google.com/maps/search/Shafiee+Restaurant+منطقه+۱۳+تهران</t>
  </si>
  <si>
    <t xml:space="preserve">تهیه غذای زعفران اقبال</t>
  </si>
  <si>
    <t xml:space="preserve">منطقه ۱۳، Eqbal Lahouri St</t>
  </si>
  <si>
    <t xml:space="preserve">https://www.google.com/maps/search/تهیه+غذای+زعفران+اقبال+منطقه+۱۳+تهران</t>
  </si>
  <si>
    <t xml:space="preserve">چلوکبابی افتخاری</t>
  </si>
  <si>
    <t xml:space="preserve">MFRH+R9V</t>
  </si>
  <si>
    <t xml:space="preserve">https://www.google.com/maps/search/چلوکبابی+افتخاری+منطقه+۱۳+تهران</t>
  </si>
  <si>
    <t xml:space="preserve">Kheshte Behesht Restaurant</t>
  </si>
  <si>
    <t xml:space="preserve">Piroozi St</t>
  </si>
  <si>
    <t xml:space="preserve">https://www.google.com/maps/search/Kheshte+Behesht+Restaurant+منطقه+۱۳+تهران</t>
  </si>
  <si>
    <t xml:space="preserve">کبابخانه محفل</t>
  </si>
  <si>
    <t xml:space="preserve">PF2Q+6WW</t>
  </si>
  <si>
    <t xml:space="preserve">https://www.google.com/maps/search/کبابخانه+محفل+منطقه+۱۳+تهران</t>
  </si>
  <si>
    <t xml:space="preserve">۱۴</t>
  </si>
  <si>
    <t xml:space="preserve">Entezami Restaurant</t>
  </si>
  <si>
    <t xml:space="preserve">سلیمانیه، MFQ4+2M5</t>
  </si>
  <si>
    <t xml:space="preserve">https://www.google.com/maps/search/Entezami+Restaurant+منطقه+۱۴+تهران</t>
  </si>
  <si>
    <t xml:space="preserve">دیزی سرا و رستوران سنتی بولونی</t>
  </si>
  <si>
    <t xml:space="preserve">Niknam</t>
  </si>
  <si>
    <t xml:space="preserve">https://www.google.com/maps/search/دیزی+سرا+و+رستوران+سنتی+بولونی+منطقه+۱۴+تهران</t>
  </si>
  <si>
    <t xml:space="preserve">Naghshe jahan restaurant</t>
  </si>
  <si>
    <t xml:space="preserve">No. 410, Piroozi St, Parastar St</t>
  </si>
  <si>
    <t xml:space="preserve">https://www.google.com/maps/search/Naghshe+jahan+restaurant+منطقه+۱۴+تهران</t>
  </si>
  <si>
    <t xml:space="preserve">تهران کباب شعبه پیروزی</t>
  </si>
  <si>
    <t xml:space="preserve">MFRF+GCM</t>
  </si>
  <si>
    <t xml:space="preserve">https://www.google.com/maps/search/تهران+کباب+شعبه+پیروزی+منطقه+۱۴+تهران</t>
  </si>
  <si>
    <t xml:space="preserve">رستوران خرم</t>
  </si>
  <si>
    <t xml:space="preserve">آهنگ غربی، منطقه ۱۴</t>
  </si>
  <si>
    <t xml:space="preserve">https://www.google.com/maps/search/رستوران+خرم+منطقه+۱۴+تهران</t>
  </si>
  <si>
    <t xml:space="preserve">رستوران ته‌دیگ</t>
  </si>
  <si>
    <t xml:space="preserve">MF6P+CR8</t>
  </si>
  <si>
    <t xml:space="preserve">https://www.google.com/maps/search/رستوران+ته‌دیگ+منطقه+۱۴+تهران</t>
  </si>
  <si>
    <t xml:space="preserve">۱۵</t>
  </si>
  <si>
    <t xml:space="preserve">Simoni restaurant</t>
  </si>
  <si>
    <t xml:space="preserve">Ahang Hwy, MF59+CV7</t>
  </si>
  <si>
    <t xml:space="preserve">https://www.google.com/maps/search/Simoni+restaurant+منطقه+۱۵+تهران</t>
  </si>
  <si>
    <t xml:space="preserve">Khan Baba Restaurant</t>
  </si>
  <si>
    <t xml:space="preserve">Tayyeb St</t>
  </si>
  <si>
    <t xml:space="preserve">https://www.google.com/maps/search/Khan+Baba+Restaurant+منطقه+۱۵+تهران</t>
  </si>
  <si>
    <t xml:space="preserve">Kazemi Catering</t>
  </si>
  <si>
    <t xml:space="preserve">۳ تا ۴ میلیون تومان</t>
  </si>
  <si>
    <t xml:space="preserve">Hefdah Shahrivar St, MC5V+5XR</t>
  </si>
  <si>
    <t xml:space="preserve">https://www.google.com/maps/search/Kazemi+Catering+منطقه+۱۵+تهران</t>
  </si>
  <si>
    <t xml:space="preserve">کباب حلیم تاک</t>
  </si>
  <si>
    <t xml:space="preserve">حلیم‌فروشی</t>
  </si>
  <si>
    <t xml:space="preserve">MC3P+498</t>
  </si>
  <si>
    <t xml:space="preserve">https://www.google.com/maps/search/کباب+حلیم+تاک+منطقه+۱۵+تهران</t>
  </si>
  <si>
    <t xml:space="preserve">Bita</t>
  </si>
  <si>
    <t xml:space="preserve">۳ تا ۸ میلیون تومان</t>
  </si>
  <si>
    <t xml:space="preserve">MC4W+92C</t>
  </si>
  <si>
    <t xml:space="preserve">https://www.google.com/maps/search/Bita+منطقه+۱۵+تهران</t>
  </si>
  <si>
    <t xml:space="preserve">۱۶</t>
  </si>
  <si>
    <t xml:space="preserve">کافه رستوران آونا</t>
  </si>
  <si>
    <t xml:space="preserve">JCQ2+MJX</t>
  </si>
  <si>
    <t xml:space="preserve">https://www.google.com/maps/search/کافه+رستوران+آونا+منطقه+۱۶+تهران</t>
  </si>
  <si>
    <t xml:space="preserve">Javan Honarvar Restaurant</t>
  </si>
  <si>
    <t xml:space="preserve">۱ تا ۷ میلیون تومان</t>
  </si>
  <si>
    <t xml:space="preserve">JCQ6+MF3</t>
  </si>
  <si>
    <t xml:space="preserve">https://www.google.com/maps/search/Javan+Honarvar+Restaurant+منطقه+۱۶+تهران</t>
  </si>
  <si>
    <t xml:space="preserve">Zeytoon Restaurant</t>
  </si>
  <si>
    <t xml:space="preserve">نازی‌آباد، خیابان رجایی، JCQ6+377</t>
  </si>
  <si>
    <t xml:space="preserve">https://www.google.com/maps/search/Zeytoon+Restaurant+منطقه+۱۶+تهران</t>
  </si>
  <si>
    <t xml:space="preserve">رستوران دهکده</t>
  </si>
  <si>
    <t xml:space="preserve">JCR2+3RP</t>
  </si>
  <si>
    <t xml:space="preserve">https://www.google.com/maps/search/رستوران+دهکده+منطقه+۱۶+تهران</t>
  </si>
  <si>
    <t xml:space="preserve">Dadashiha Restaurant</t>
  </si>
  <si>
    <t xml:space="preserve">JCM5+55R</t>
  </si>
  <si>
    <t xml:space="preserve">https://www.google.com/maps/search/Dadashiha+Restaurant+منطقه+۱۶+تهران</t>
  </si>
  <si>
    <t xml:space="preserve">Barekati Restaurant</t>
  </si>
  <si>
    <t xml:space="preserve">میدان شوش، پاساژ پرنسا، طبقه سوم</t>
  </si>
  <si>
    <t xml:space="preserve">https://www.google.com/maps/search/Barekati+Restaurant+منطقه+۱۶+تهران</t>
  </si>
  <si>
    <t xml:space="preserve">۱۷</t>
  </si>
  <si>
    <t xml:space="preserve">رستوران برادران یوسفی</t>
  </si>
  <si>
    <t xml:space="preserve">خیابان غلامحسین بهبودی، M955+498</t>
  </si>
  <si>
    <t xml:space="preserve">https://www.google.com/maps/search/رستوران+برادران+یوسفی+منطقه+۱۷+تهران</t>
  </si>
  <si>
    <t xml:space="preserve">Dorehami Restaurant</t>
  </si>
  <si>
    <t xml:space="preserve">۱ تا ۴ میلیون تومان</t>
  </si>
  <si>
    <t xml:space="preserve">Amin-ol-Molk St, No. 376</t>
  </si>
  <si>
    <t xml:space="preserve">https://www.google.com/maps/search/Dorehami+Restaurant+منطقه+۱۷+تهران</t>
  </si>
  <si>
    <t xml:space="preserve">Kababi baradaran mosavi panah</t>
  </si>
  <si>
    <t xml:space="preserve">M93C+H73</t>
  </si>
  <si>
    <t xml:space="preserve">https://www.google.com/maps/search/Kababi+baradaran+mosavi+panah+منطقه+۱۷+تهران</t>
  </si>
  <si>
    <t xml:space="preserve">رستوران دنیز</t>
  </si>
  <si>
    <t xml:space="preserve">شرق اروپایی</t>
  </si>
  <si>
    <t xml:space="preserve">Baqeri, M954+792</t>
  </si>
  <si>
    <t xml:space="preserve">https://www.google.com/maps/search/رستوران+دنیز+منطقه+۱۷+تهران</t>
  </si>
  <si>
    <t xml:space="preserve">Hani Restaurant</t>
  </si>
  <si>
    <t xml:space="preserve">M85X+2X7</t>
  </si>
  <si>
    <t xml:space="preserve">https://www.google.com/maps/search/Hani+Restaurant+منطقه+۱۷+تهران</t>
  </si>
  <si>
    <t xml:space="preserve">رستوران سعید جوجه</t>
  </si>
  <si>
    <t xml:space="preserve">Peyghambari St, M952+5CQ</t>
  </si>
  <si>
    <t xml:space="preserve">https://www.google.com/maps/search/رستوران+سعید+جوجه+منطقه+۱۷+تهران</t>
  </si>
  <si>
    <t xml:space="preserve">۱۸</t>
  </si>
  <si>
    <t xml:space="preserve">رستوران شبهای تهران</t>
  </si>
  <si>
    <t xml:space="preserve">E Yaft Abad St, J8RP+JVH</t>
  </si>
  <si>
    <t xml:space="preserve">https://www.google.com/maps/search/رستوران+شبهای+تهران+منطقه+۱۸+تهران</t>
  </si>
  <si>
    <t xml:space="preserve">Hilan Restaurant</t>
  </si>
  <si>
    <t xml:space="preserve">M86R+93M</t>
  </si>
  <si>
    <t xml:space="preserve">https://www.google.com/maps/search/Hilan+Restaurant+منطقه+۱۸+تهران</t>
  </si>
  <si>
    <t xml:space="preserve">رستوران آویشن</t>
  </si>
  <si>
    <t xml:space="preserve">شهرک ولیعصر، منطقه ۱۸</t>
  </si>
  <si>
    <t xml:space="preserve">https://www.google.com/maps/search/رستوران+آویشن+منطقه+۱۸+تهران</t>
  </si>
  <si>
    <t xml:space="preserve">Hamedi Restaurant</t>
  </si>
  <si>
    <t xml:space="preserve">Emam-e-Zaman, M87F+R2F</t>
  </si>
  <si>
    <t xml:space="preserve">https://www.google.com/maps/search/Hamedi+Restaurant+منطقه+۱۸+تهران</t>
  </si>
  <si>
    <t xml:space="preserve">Ibrahim Zandieh restaurant</t>
  </si>
  <si>
    <t xml:space="preserve">خیابان زندیه، میدان الغدیر شهران</t>
  </si>
  <si>
    <t xml:space="preserve">https://www.google.com/maps/search/Ibrahim+Zandieh+restaurant+منطقه+۱۸+تهران</t>
  </si>
  <si>
    <t xml:space="preserve">رستوران مهدی حامدی</t>
  </si>
  <si>
    <t xml:space="preserve">J8WG+83C، کوچه بازلی، پلاک پ۱۸</t>
  </si>
  <si>
    <t xml:space="preserve">https://www.google.com/maps/search/رستوران+مهدی+حامدی+منطقه+۱۸+تهران</t>
  </si>
  <si>
    <t xml:space="preserve">۱۹</t>
  </si>
  <si>
    <t xml:space="preserve">رستوران مجلل فاخر</t>
  </si>
  <si>
    <t xml:space="preserve">خانی‌آباد نو شمالی، منطقه ۱۹</t>
  </si>
  <si>
    <t xml:space="preserve">https://www.google.com/maps/search/رستوران+مجلل+فاخر+منطقه+۱۹+تهران</t>
  </si>
  <si>
    <t xml:space="preserve">رستوران میثم</t>
  </si>
  <si>
    <t xml:space="preserve">Mahan St, No. 126</t>
  </si>
  <si>
    <t xml:space="preserve">https://www.google.com/maps/search/رستوران+میثم+منطقه+۱۹+تهران</t>
  </si>
  <si>
    <t xml:space="preserve">رستوران سنتی خان باجی</t>
  </si>
  <si>
    <t xml:space="preserve">Shokufeh Blvd, J9MC+32Q</t>
  </si>
  <si>
    <t xml:space="preserve">https://www.google.com/maps/search/رستوران+سنتی+خان+باجی+منطقه+۱۹+تهران</t>
  </si>
  <si>
    <t xml:space="preserve">رستوران کوثر</t>
  </si>
  <si>
    <t xml:space="preserve">J9P7+VX9</t>
  </si>
  <si>
    <t xml:space="preserve">https://www.google.com/maps/search/رستوران+کوثر+منطقه+۱۹+تهران</t>
  </si>
  <si>
    <t xml:space="preserve">رستوران پدیده</t>
  </si>
  <si>
    <t xml:space="preserve">Misaq، J9GR+36H</t>
  </si>
  <si>
    <t xml:space="preserve">https://www.google.com/maps/search/رستوران+پدیده+منطقه+۱۹+تهران</t>
  </si>
  <si>
    <t xml:space="preserve">Gol e Gandom restaurant</t>
  </si>
  <si>
    <t xml:space="preserve">Mahan St, J9MF+W3H</t>
  </si>
  <si>
    <t xml:space="preserve">https://www.google.com/maps/search/Gol+e+Gandom+restaurant+منطقه+۱۹+تهران</t>
  </si>
  <si>
    <t xml:space="preserve">۲۰</t>
  </si>
  <si>
    <t xml:space="preserve">رستوران سايوان</t>
  </si>
  <si>
    <t xml:space="preserve">شهادت، JC7V+P45</t>
  </si>
  <si>
    <t xml:space="preserve">https://www.google.com/maps/search/رستوران+سايوان+منطقه+۲۰+تهران</t>
  </si>
  <si>
    <t xml:space="preserve">Mojalal e Ray restaurant</t>
  </si>
  <si>
    <t xml:space="preserve">غذای عالی</t>
  </si>
  <si>
    <t xml:space="preserve">بلوار امام حسین(ع)، میدان نماز، JC3G+9V9</t>
  </si>
  <si>
    <t xml:space="preserve">https://www.google.com/maps/search/Mojalal+e+Ray+restaurant+منطقه+۲۰+تهران</t>
  </si>
  <si>
    <t xml:space="preserve">رستوران و کباب اصیل گلپایگان</t>
  </si>
  <si>
    <t xml:space="preserve">ری، Komeyl Blvd, HCWG+WP3</t>
  </si>
  <si>
    <t xml:space="preserve">https://www.google.com/maps/search/رستوران+و+کباب+اصیل+گلپایگان+منطقه+۲۰+تهران</t>
  </si>
  <si>
    <t xml:space="preserve">رستوران همشهری</t>
  </si>
  <si>
    <t xml:space="preserve">HCPX+3MP</t>
  </si>
  <si>
    <t xml:space="preserve">https://www.google.com/maps/search/رستوران+همشهری+منطقه+۲۰+تهران</t>
  </si>
  <si>
    <t xml:space="preserve">سرای سنتی دیلمان</t>
  </si>
  <si>
    <t xml:space="preserve">ری، خیابان امام حسین، پلاک ۱۹۰</t>
  </si>
  <si>
    <t xml:space="preserve">https://www.google.com/maps/search/سرای+سنتی+دیلمان+منطقه+۲۰+تهران</t>
  </si>
  <si>
    <t xml:space="preserve">Seyyed restaurant</t>
  </si>
  <si>
    <t xml:space="preserve">HFV3+76X</t>
  </si>
  <si>
    <t xml:space="preserve">https://www.google.com/maps/search/Seyyed+restaurant+منطقه+۲۰+تهران</t>
  </si>
  <si>
    <t xml:space="preserve">۲۱</t>
  </si>
  <si>
    <t xml:space="preserve">تهران کباب شعبه تهرانسر</t>
  </si>
  <si>
    <t xml:space="preserve">M7X7+887</t>
  </si>
  <si>
    <t xml:space="preserve">https://www.google.com/maps/search/تهران+کباب+شعبه+تهرانسر+منطقه+۲۱+تهران</t>
  </si>
  <si>
    <t xml:space="preserve">Zaferan restaurant</t>
  </si>
  <si>
    <t xml:space="preserve">تهرانسر شمالی، منطقه ۲۱</t>
  </si>
  <si>
    <t xml:space="preserve">https://www.google.com/maps/search/Zaferan+restaurant+منطقه+۲۱+تهران</t>
  </si>
  <si>
    <t xml:space="preserve">رستوران پذیرا</t>
  </si>
  <si>
    <t xml:space="preserve">M7W3+VQQ</t>
  </si>
  <si>
    <t xml:space="preserve">https://www.google.com/maps/search/رستوران+پذیرا+منطقه+۲۱+تهران</t>
  </si>
  <si>
    <t xml:space="preserve">آشکده دیگچه</t>
  </si>
  <si>
    <t xml:space="preserve">سوپ</t>
  </si>
  <si>
    <t xml:space="preserve">M7V3+JJJ</t>
  </si>
  <si>
    <t xml:space="preserve">https://www.google.com/maps/search/آشکده+دیگچه+منطقه+۲۱+تهران</t>
  </si>
  <si>
    <t xml:space="preserve">Nab Rice And Kabab</t>
  </si>
  <si>
    <t xml:space="preserve">M7X8+557</t>
  </si>
  <si>
    <t xml:space="preserve">https://www.google.com/maps/search/Nab+Rice+And+Kabab+منطقه+۲۱+تهران</t>
  </si>
  <si>
    <t xml:space="preserve">رستوران چنگال پلاس</t>
  </si>
  <si>
    <t xml:space="preserve">تهرانسر، بلوار لاله، بین صالحی و بداخشان، پلاک ۷۷</t>
  </si>
  <si>
    <t xml:space="preserve">https://www.google.com/maps/search/رستوران+چنگال+پلاس+منطقه+۲۱+تهران</t>
  </si>
  <si>
    <t xml:space="preserve">۲۲</t>
  </si>
  <si>
    <t xml:space="preserve">Dorehami Garden Restaurant</t>
  </si>
  <si>
    <t xml:space="preserve">شقایق، P6FX+G8X</t>
  </si>
  <si>
    <t xml:space="preserve">https://www.google.com/maps/search/Dorehami+Garden+Restaurant+منطقه+۲۲+تهران</t>
  </si>
  <si>
    <t xml:space="preserve">+98 21 4602 3719</t>
  </si>
  <si>
    <t xml:space="preserve">کافه رستوران آرشا</t>
  </si>
  <si>
    <t xml:space="preserve">چیتگر، منطقه ۲۱</t>
  </si>
  <si>
    <t xml:space="preserve">https://www.google.com/maps/search/کافه+رستوران+آرشا+منطقه+۲۲+تهران</t>
  </si>
  <si>
    <t xml:space="preserve">+98 21 4475 3030</t>
  </si>
  <si>
    <t xml:space="preserve">Kazemi VIP Restaurant</t>
  </si>
  <si>
    <t xml:space="preserve">Self service</t>
  </si>
  <si>
    <t xml:space="preserve">2nd Nasim, P69W+95G</t>
  </si>
  <si>
    <t xml:space="preserve">https://www.google.com/maps/search/Kazemi+VIP+Restaurant+منطقه+۲۲+تهران</t>
  </si>
  <si>
    <t xml:space="preserve">+98 912 101 4645</t>
  </si>
  <si>
    <t xml:space="preserve">Reyhane garden restaurant</t>
  </si>
  <si>
    <t xml:space="preserve">مناسب برای خانواده</t>
  </si>
  <si>
    <t xml:space="preserve">P6HP+PXM</t>
  </si>
  <si>
    <t xml:space="preserve">https://www.google.com/maps/search/Reyhane+garden+restaurant+منطقه+۲۲+تهران</t>
  </si>
  <si>
    <t xml:space="preserve">+98 21 4474 1163</t>
  </si>
  <si>
    <t xml:space="preserve">Sofre Irani Garden Restaurant</t>
  </si>
  <si>
    <t xml:space="preserve">Olympic Sq, P7W7+QRH</t>
  </si>
  <si>
    <t xml:space="preserve">https://www.google.com/maps/search/Sofre+Irani+Garden+Restaurant+منطقه+۲۲+تهران</t>
  </si>
  <si>
    <t xml:space="preserve">+98 21 4472 9718</t>
  </si>
  <si>
    <t xml:space="preserve">کافه رستوران لیانو</t>
  </si>
  <si>
    <t xml:space="preserve">P7V8+9VM</t>
  </si>
  <si>
    <t xml:space="preserve">https://www.google.com/maps/search/کافه+رستوران+لیانو+منطقه+۲۲+تهران</t>
  </si>
  <si>
    <t xml:space="preserve">+98 935 792 8728</t>
  </si>
  <si>
    <t xml:space="preserve">Zahed Al-Iraqi Restaurant</t>
  </si>
  <si>
    <t xml:space="preserve">P6VC+XM3</t>
  </si>
  <si>
    <t xml:space="preserve">https://www.google.com/maps/search/Zahed+Al-Iraqi+Restaurant+منطقه+۲۲+تهران</t>
  </si>
  <si>
    <t xml:space="preserve">+98 21 4044 7138</t>
  </si>
  <si>
    <t xml:space="preserve">Bab Al-Bahr Restaurant</t>
  </si>
  <si>
    <t xml:space="preserve">P6VC+6R4</t>
  </si>
  <si>
    <t xml:space="preserve">https://www.google.com/maps/search/Bab+Al-Bahr+Restaurant+منطقه+۲۲+تهران</t>
  </si>
  <si>
    <t xml:space="preserve">+98 21 4044 7282</t>
  </si>
  <si>
    <t xml:space="preserve">Arpe Restaurant</t>
  </si>
  <si>
    <t xml:space="preserve">Amirkabir Blvd, P6WR+RX8</t>
  </si>
  <si>
    <t xml:space="preserve">https://www.google.com/maps/search/Arpe+Restaurant+منطقه+۲۲+تهران</t>
  </si>
  <si>
    <t xml:space="preserve">+98 21 4472 2626</t>
  </si>
  <si>
    <t xml:space="preserve">تعداد لید</t>
  </si>
  <si>
    <t xml:space="preserve">میانگین امتیاز</t>
  </si>
</sst>
</file>

<file path=xl/styles.xml><?xml version="1.0" encoding="utf-8"?>
<styleSheet xmlns="http://schemas.openxmlformats.org/spreadsheetml/2006/main">
  <numFmts count="1">
    <numFmt numFmtId="164" formatCode="General"/>
  </numFmts>
  <fonts count="9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6"/>
      <color rgb="FF1F4E78"/>
      <name val="Arial"/>
      <family val="0"/>
      <charset val="1"/>
    </font>
    <font>
      <sz val="11"/>
      <name val="Arial"/>
      <family val="0"/>
      <charset val="1"/>
    </font>
    <font>
      <b val="true"/>
      <sz val="12"/>
      <name val="Arial"/>
      <family val="0"/>
      <charset val="1"/>
    </font>
    <font>
      <b val="true"/>
      <sz val="11"/>
      <color rgb="FFFFFFFF"/>
      <name val="Arial"/>
      <family val="0"/>
      <charset val="1"/>
    </font>
    <font>
      <sz val="10"/>
      <name val="Arial"/>
      <family val="0"/>
      <charset val="1"/>
    </font>
  </fonts>
  <fills count="3">
    <fill>
      <patternFill patternType="none"/>
    </fill>
    <fill>
      <patternFill patternType="gray125"/>
    </fill>
    <fill>
      <patternFill patternType="solid">
        <fgColor rgb="FF1F4E78"/>
        <bgColor rgb="FF003366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8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true" applyProtection="false">
      <alignment horizontal="right" vertical="bottom" textRotation="0" wrapText="true" indent="0" shrinkToFit="false"/>
      <protection locked="true" hidden="false"/>
    </xf>
    <xf numFmtId="164" fontId="5" fillId="0" borderId="0" xfId="0" applyFont="true" applyBorder="false" applyAlignment="true" applyProtection="false">
      <alignment horizontal="right" vertical="bottom" textRotation="0" wrapText="true" indent="0" shrinkToFit="false"/>
      <protection locked="true" hidden="false"/>
    </xf>
    <xf numFmtId="164" fontId="6" fillId="0" borderId="0" xfId="0" applyFont="true" applyBorder="false" applyAlignment="true" applyProtection="false">
      <alignment horizontal="right" vertical="bottom" textRotation="0" wrapText="true" indent="0" shrinkToFit="false"/>
      <protection locked="true" hidden="false"/>
    </xf>
    <xf numFmtId="164" fontId="7" fillId="2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8" fillId="0" borderId="1" xfId="0" applyFont="true" applyBorder="true" applyAlignment="true" applyProtection="false">
      <alignment horizontal="right" vertical="center" textRotation="0" wrapText="true" indent="0" shrinkToFit="false"/>
      <protection locked="true" hidden="false"/>
    </xf>
    <xf numFmtId="164" fontId="7" fillId="2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8" fillId="0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dxfs count="3">
    <dxf>
      <fill>
        <patternFill patternType="solid">
          <fgColor rgb="FF1F4E78"/>
          <bgColor rgb="FF000000"/>
        </patternFill>
      </fill>
    </dxf>
    <dxf>
      <fill>
        <patternFill patternType="solid">
          <bgColor rgb="FF000000"/>
        </patternFill>
      </fill>
    </dxf>
    <dxf>
      <fill>
        <patternFill patternType="solid">
          <fgColor rgb="FFFFFFFF"/>
          <bgColor rgb="FF000000"/>
        </patternFill>
      </fill>
    </dxf>
  </dxf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CCCCC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1F4E78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sharedStrings" Target="sharedStrings.xml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_rels/sheet2.xml.rels><?xml version="1.0" encoding="UTF-8"?>
<Relationships xmlns="http://schemas.openxmlformats.org/package/2006/relationships"><Relationship Id="rId1" Type="http://schemas.openxmlformats.org/officeDocument/2006/relationships/drawing" Target="../drawings/drawing1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25"/>
  <sheetViews>
    <sheetView showFormulas="false" showGridLines="true" showRowColHeaders="true" showZeros="true" rightToLeft="tru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00"/>
  </cols>
  <sheetData>
    <row r="1" customFormat="false" ht="19.7" hidden="false" customHeight="false" outlineLevel="0" collapsed="false">
      <c r="A1" s="1" t="s">
        <v>0</v>
      </c>
    </row>
    <row r="2" customFormat="false" ht="15" hidden="false" customHeight="false" outlineLevel="0" collapsed="false">
      <c r="A2" s="2"/>
    </row>
    <row r="3" customFormat="false" ht="15" hidden="false" customHeight="false" outlineLevel="0" collapsed="false">
      <c r="A3" s="2" t="s">
        <v>1</v>
      </c>
    </row>
    <row r="4" customFormat="false" ht="15" hidden="false" customHeight="false" outlineLevel="0" collapsed="false">
      <c r="A4" s="2" t="s">
        <v>2</v>
      </c>
    </row>
    <row r="5" customFormat="false" ht="15" hidden="false" customHeight="false" outlineLevel="0" collapsed="false">
      <c r="A5" s="2" t="s">
        <v>3</v>
      </c>
    </row>
    <row r="6" customFormat="false" ht="15" hidden="false" customHeight="false" outlineLevel="0" collapsed="false">
      <c r="A6" s="2"/>
    </row>
    <row r="7" customFormat="false" ht="15" hidden="false" customHeight="false" outlineLevel="0" collapsed="false">
      <c r="A7" s="3" t="s">
        <v>4</v>
      </c>
    </row>
    <row r="8" customFormat="false" ht="15" hidden="false" customHeight="false" outlineLevel="0" collapsed="false">
      <c r="A8" s="2" t="s">
        <v>5</v>
      </c>
    </row>
    <row r="9" customFormat="false" ht="15" hidden="false" customHeight="false" outlineLevel="0" collapsed="false">
      <c r="A9" s="2" t="s">
        <v>6</v>
      </c>
    </row>
    <row r="10" customFormat="false" ht="15" hidden="false" customHeight="false" outlineLevel="0" collapsed="false">
      <c r="A10" s="2" t="s">
        <v>7</v>
      </c>
    </row>
    <row r="11" customFormat="false" ht="15" hidden="false" customHeight="false" outlineLevel="0" collapsed="false">
      <c r="A11" s="2" t="s">
        <v>8</v>
      </c>
    </row>
    <row r="12" customFormat="false" ht="15" hidden="false" customHeight="false" outlineLevel="0" collapsed="false">
      <c r="A12" s="2"/>
    </row>
    <row r="13" customFormat="false" ht="15" hidden="false" customHeight="false" outlineLevel="0" collapsed="false">
      <c r="A13" s="3" t="s">
        <v>9</v>
      </c>
    </row>
    <row r="14" customFormat="false" ht="15" hidden="false" customHeight="false" outlineLevel="0" collapsed="false">
      <c r="A14" s="2" t="s">
        <v>10</v>
      </c>
    </row>
    <row r="15" customFormat="false" ht="15" hidden="false" customHeight="false" outlineLevel="0" collapsed="false">
      <c r="A15" s="2" t="s">
        <v>11</v>
      </c>
    </row>
    <row r="16" customFormat="false" ht="15" hidden="false" customHeight="false" outlineLevel="0" collapsed="false">
      <c r="A16" s="2" t="s">
        <v>12</v>
      </c>
    </row>
    <row r="17" customFormat="false" ht="15" hidden="false" customHeight="false" outlineLevel="0" collapsed="false">
      <c r="A17" s="2" t="s">
        <v>13</v>
      </c>
    </row>
    <row r="18" customFormat="false" ht="15" hidden="false" customHeight="false" outlineLevel="0" collapsed="false">
      <c r="A18" s="2" t="s">
        <v>14</v>
      </c>
    </row>
    <row r="19" customFormat="false" ht="15" hidden="false" customHeight="false" outlineLevel="0" collapsed="false">
      <c r="A19" s="2"/>
    </row>
    <row r="20" customFormat="false" ht="15" hidden="false" customHeight="false" outlineLevel="0" collapsed="false">
      <c r="A20" s="3" t="s">
        <v>15</v>
      </c>
    </row>
    <row r="21" customFormat="false" ht="15" hidden="false" customHeight="false" outlineLevel="0" collapsed="false">
      <c r="A21" s="2" t="s">
        <v>16</v>
      </c>
    </row>
    <row r="22" customFormat="false" ht="26.85" hidden="false" customHeight="false" outlineLevel="0" collapsed="false">
      <c r="A22" s="2" t="s">
        <v>17</v>
      </c>
    </row>
    <row r="23" customFormat="false" ht="15" hidden="false" customHeight="false" outlineLevel="0" collapsed="false">
      <c r="A23" s="2"/>
    </row>
    <row r="24" customFormat="false" ht="15" hidden="false" customHeight="false" outlineLevel="0" collapsed="false">
      <c r="A24" s="3" t="s">
        <v>18</v>
      </c>
    </row>
    <row r="25" customFormat="false" ht="15" hidden="false" customHeight="false" outlineLevel="0" collapsed="false">
      <c r="A25" s="2" t="s">
        <v>19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L135"/>
  <sheetViews>
    <sheetView showFormulas="false" showGridLines="true" showRowColHeaders="true" showZeros="true" rightToLeft="tru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8"/>
    <col collapsed="false" customWidth="true" hidden="false" outlineLevel="0" max="2" min="2" style="0" width="28"/>
    <col collapsed="false" customWidth="true" hidden="false" outlineLevel="0" max="3" min="3" style="0" width="16"/>
    <col collapsed="false" customWidth="true" hidden="false" outlineLevel="0" max="4" min="4" style="0" width="8"/>
    <col collapsed="false" customWidth="true" hidden="false" outlineLevel="0" max="5" min="5" style="0" width="10"/>
    <col collapsed="false" customWidth="true" hidden="false" outlineLevel="0" max="6" min="6" style="0" width="16"/>
    <col collapsed="false" customWidth="true" hidden="false" outlineLevel="0" max="7" min="7" style="0" width="34"/>
    <col collapsed="false" customWidth="true" hidden="false" outlineLevel="0" max="8" min="8" style="0" width="30"/>
    <col collapsed="false" customWidth="true" hidden="false" outlineLevel="0" max="9" min="9" style="0" width="16"/>
    <col collapsed="false" customWidth="true" hidden="false" outlineLevel="0" max="10" min="10" style="0" width="12"/>
    <col collapsed="false" customWidth="true" hidden="false" outlineLevel="0" max="11" min="11" style="0" width="20"/>
    <col collapsed="false" customWidth="true" hidden="false" outlineLevel="0" max="12" min="12" style="0" width="14"/>
  </cols>
  <sheetData>
    <row r="1" customFormat="false" ht="26.85" hidden="false" customHeight="false" outlineLevel="0" collapsed="false">
      <c r="A1" s="4" t="s">
        <v>20</v>
      </c>
      <c r="B1" s="4" t="s">
        <v>21</v>
      </c>
      <c r="C1" s="4" t="s">
        <v>22</v>
      </c>
      <c r="D1" s="4" t="s">
        <v>23</v>
      </c>
      <c r="E1" s="4" t="s">
        <v>24</v>
      </c>
      <c r="F1" s="4" t="s">
        <v>25</v>
      </c>
      <c r="G1" s="4" t="s">
        <v>26</v>
      </c>
      <c r="H1" s="4" t="s">
        <v>27</v>
      </c>
      <c r="I1" s="4" t="s">
        <v>28</v>
      </c>
      <c r="J1" s="4" t="s">
        <v>29</v>
      </c>
      <c r="K1" s="4" t="s">
        <v>30</v>
      </c>
      <c r="L1" s="4" t="s">
        <v>31</v>
      </c>
    </row>
    <row r="2" customFormat="false" ht="35.05" hidden="false" customHeight="false" outlineLevel="0" collapsed="false">
      <c r="A2" s="5" t="s">
        <v>32</v>
      </c>
      <c r="B2" s="5" t="s">
        <v>33</v>
      </c>
      <c r="C2" s="5" t="s">
        <v>34</v>
      </c>
      <c r="D2" s="5" t="n">
        <v>4.1</v>
      </c>
      <c r="E2" s="5" t="n">
        <v>495</v>
      </c>
      <c r="F2" s="5"/>
      <c r="G2" s="5" t="s">
        <v>35</v>
      </c>
      <c r="H2" s="5" t="s">
        <v>36</v>
      </c>
      <c r="I2" s="5"/>
      <c r="J2" s="5" t="s">
        <v>37</v>
      </c>
      <c r="K2" s="5"/>
      <c r="L2" s="5" t="s">
        <v>38</v>
      </c>
    </row>
    <row r="3" customFormat="false" ht="46.25" hidden="false" customHeight="false" outlineLevel="0" collapsed="false">
      <c r="A3" s="5" t="s">
        <v>32</v>
      </c>
      <c r="B3" s="5" t="s">
        <v>39</v>
      </c>
      <c r="C3" s="5" t="s">
        <v>34</v>
      </c>
      <c r="D3" s="5" t="n">
        <v>3.6</v>
      </c>
      <c r="E3" s="5" t="n">
        <v>859</v>
      </c>
      <c r="F3" s="5"/>
      <c r="G3" s="5" t="s">
        <v>40</v>
      </c>
      <c r="H3" s="5" t="s">
        <v>41</v>
      </c>
      <c r="I3" s="5"/>
      <c r="J3" s="5" t="s">
        <v>37</v>
      </c>
      <c r="K3" s="5"/>
      <c r="L3" s="5" t="s">
        <v>38</v>
      </c>
    </row>
    <row r="4" customFormat="false" ht="46.25" hidden="false" customHeight="false" outlineLevel="0" collapsed="false">
      <c r="A4" s="5" t="s">
        <v>32</v>
      </c>
      <c r="B4" s="5" t="s">
        <v>42</v>
      </c>
      <c r="C4" s="5" t="s">
        <v>43</v>
      </c>
      <c r="D4" s="5" t="n">
        <v>4</v>
      </c>
      <c r="E4" s="5" t="n">
        <v>205</v>
      </c>
      <c r="F4" s="5"/>
      <c r="G4" s="5" t="s">
        <v>44</v>
      </c>
      <c r="H4" s="5" t="s">
        <v>45</v>
      </c>
      <c r="I4" s="5"/>
      <c r="J4" s="5" t="s">
        <v>37</v>
      </c>
      <c r="K4" s="5"/>
      <c r="L4" s="5" t="s">
        <v>38</v>
      </c>
    </row>
    <row r="5" customFormat="false" ht="35.05" hidden="false" customHeight="false" outlineLevel="0" collapsed="false">
      <c r="A5" s="5" t="s">
        <v>32</v>
      </c>
      <c r="B5" s="5" t="s">
        <v>46</v>
      </c>
      <c r="C5" s="5" t="s">
        <v>34</v>
      </c>
      <c r="D5" s="5" t="n">
        <v>4</v>
      </c>
      <c r="E5" s="5" t="n">
        <v>455</v>
      </c>
      <c r="F5" s="5" t="s">
        <v>47</v>
      </c>
      <c r="G5" s="5" t="s">
        <v>48</v>
      </c>
      <c r="H5" s="5" t="s">
        <v>49</v>
      </c>
      <c r="I5" s="5"/>
      <c r="J5" s="5" t="s">
        <v>37</v>
      </c>
      <c r="K5" s="5"/>
      <c r="L5" s="5" t="s">
        <v>38</v>
      </c>
    </row>
    <row r="6" customFormat="false" ht="46.25" hidden="false" customHeight="false" outlineLevel="0" collapsed="false">
      <c r="A6" s="5" t="s">
        <v>32</v>
      </c>
      <c r="B6" s="5" t="s">
        <v>50</v>
      </c>
      <c r="C6" s="5" t="s">
        <v>51</v>
      </c>
      <c r="D6" s="5" t="n">
        <v>4</v>
      </c>
      <c r="E6" s="5" t="n">
        <v>628</v>
      </c>
      <c r="F6" s="5"/>
      <c r="G6" s="5" t="s">
        <v>52</v>
      </c>
      <c r="H6" s="5" t="s">
        <v>53</v>
      </c>
      <c r="I6" s="5"/>
      <c r="J6" s="5" t="s">
        <v>37</v>
      </c>
      <c r="K6" s="5"/>
      <c r="L6" s="5" t="s">
        <v>38</v>
      </c>
    </row>
    <row r="7" customFormat="false" ht="46.25" hidden="false" customHeight="false" outlineLevel="0" collapsed="false">
      <c r="A7" s="5" t="s">
        <v>32</v>
      </c>
      <c r="B7" s="5" t="s">
        <v>54</v>
      </c>
      <c r="C7" s="5" t="s">
        <v>51</v>
      </c>
      <c r="D7" s="5" t="n">
        <v>4.1</v>
      </c>
      <c r="E7" s="5" t="n">
        <v>651</v>
      </c>
      <c r="F7" s="5"/>
      <c r="G7" s="5" t="s">
        <v>55</v>
      </c>
      <c r="H7" s="5" t="s">
        <v>56</v>
      </c>
      <c r="I7" s="5"/>
      <c r="J7" s="5" t="s">
        <v>37</v>
      </c>
      <c r="K7" s="5"/>
      <c r="L7" s="5" t="s">
        <v>38</v>
      </c>
    </row>
    <row r="8" customFormat="false" ht="35.05" hidden="false" customHeight="false" outlineLevel="0" collapsed="false">
      <c r="A8" s="5" t="s">
        <v>57</v>
      </c>
      <c r="B8" s="5" t="s">
        <v>58</v>
      </c>
      <c r="C8" s="5" t="s">
        <v>51</v>
      </c>
      <c r="D8" s="5" t="n">
        <v>4.7</v>
      </c>
      <c r="E8" s="5" t="n">
        <v>23</v>
      </c>
      <c r="F8" s="5" t="s">
        <v>59</v>
      </c>
      <c r="G8" s="5" t="s">
        <v>60</v>
      </c>
      <c r="H8" s="5" t="s">
        <v>61</v>
      </c>
      <c r="I8" s="5"/>
      <c r="J8" s="5" t="s">
        <v>37</v>
      </c>
      <c r="K8" s="5"/>
      <c r="L8" s="5" t="s">
        <v>38</v>
      </c>
    </row>
    <row r="9" customFormat="false" ht="46.25" hidden="false" customHeight="false" outlineLevel="0" collapsed="false">
      <c r="A9" s="5" t="s">
        <v>57</v>
      </c>
      <c r="B9" s="5" t="s">
        <v>62</v>
      </c>
      <c r="C9" s="5" t="s">
        <v>51</v>
      </c>
      <c r="D9" s="5" t="n">
        <v>3.4</v>
      </c>
      <c r="E9" s="5" t="n">
        <v>341</v>
      </c>
      <c r="F9" s="5" t="s">
        <v>63</v>
      </c>
      <c r="G9" s="5" t="s">
        <v>64</v>
      </c>
      <c r="H9" s="5" t="s">
        <v>65</v>
      </c>
      <c r="I9" s="5"/>
      <c r="J9" s="5" t="s">
        <v>37</v>
      </c>
      <c r="K9" s="5"/>
      <c r="L9" s="5" t="s">
        <v>38</v>
      </c>
    </row>
    <row r="10" customFormat="false" ht="35.05" hidden="false" customHeight="false" outlineLevel="0" collapsed="false">
      <c r="A10" s="5" t="s">
        <v>57</v>
      </c>
      <c r="B10" s="5" t="s">
        <v>66</v>
      </c>
      <c r="C10" s="5" t="s">
        <v>51</v>
      </c>
      <c r="D10" s="5" t="n">
        <v>4</v>
      </c>
      <c r="E10" s="5" t="n">
        <v>401</v>
      </c>
      <c r="F10" s="5" t="s">
        <v>47</v>
      </c>
      <c r="G10" s="5" t="s">
        <v>67</v>
      </c>
      <c r="H10" s="5" t="s">
        <v>68</v>
      </c>
      <c r="I10" s="5"/>
      <c r="J10" s="5" t="s">
        <v>37</v>
      </c>
      <c r="K10" s="5"/>
      <c r="L10" s="5" t="s">
        <v>38</v>
      </c>
    </row>
    <row r="11" customFormat="false" ht="46.25" hidden="false" customHeight="false" outlineLevel="0" collapsed="false">
      <c r="A11" s="5" t="s">
        <v>57</v>
      </c>
      <c r="B11" s="5" t="s">
        <v>69</v>
      </c>
      <c r="C11" s="5" t="s">
        <v>34</v>
      </c>
      <c r="D11" s="5" t="n">
        <v>3.5</v>
      </c>
      <c r="E11" s="5" t="n">
        <v>84</v>
      </c>
      <c r="F11" s="5"/>
      <c r="G11" s="5" t="s">
        <v>70</v>
      </c>
      <c r="H11" s="5" t="s">
        <v>71</v>
      </c>
      <c r="I11" s="5"/>
      <c r="J11" s="5" t="s">
        <v>37</v>
      </c>
      <c r="K11" s="5"/>
      <c r="L11" s="5" t="s">
        <v>38</v>
      </c>
    </row>
    <row r="12" customFormat="false" ht="35.05" hidden="false" customHeight="false" outlineLevel="0" collapsed="false">
      <c r="A12" s="5" t="s">
        <v>57</v>
      </c>
      <c r="B12" s="5" t="s">
        <v>72</v>
      </c>
      <c r="C12" s="5" t="s">
        <v>51</v>
      </c>
      <c r="D12" s="5" t="n">
        <v>3.9</v>
      </c>
      <c r="E12" s="5" t="n">
        <v>145</v>
      </c>
      <c r="F12" s="5" t="s">
        <v>73</v>
      </c>
      <c r="G12" s="5" t="s">
        <v>74</v>
      </c>
      <c r="H12" s="5" t="s">
        <v>75</v>
      </c>
      <c r="I12" s="5"/>
      <c r="J12" s="5" t="s">
        <v>37</v>
      </c>
      <c r="K12" s="5"/>
      <c r="L12" s="5" t="s">
        <v>38</v>
      </c>
    </row>
    <row r="13" customFormat="false" ht="46.25" hidden="false" customHeight="false" outlineLevel="0" collapsed="false">
      <c r="A13" s="5" t="s">
        <v>57</v>
      </c>
      <c r="B13" s="5" t="s">
        <v>76</v>
      </c>
      <c r="C13" s="5" t="s">
        <v>77</v>
      </c>
      <c r="D13" s="5" t="n">
        <v>3.9</v>
      </c>
      <c r="E13" s="5" t="n">
        <v>360</v>
      </c>
      <c r="F13" s="5"/>
      <c r="G13" s="5" t="s">
        <v>78</v>
      </c>
      <c r="H13" s="5" t="s">
        <v>79</v>
      </c>
      <c r="I13" s="5"/>
      <c r="J13" s="5" t="s">
        <v>37</v>
      </c>
      <c r="K13" s="5"/>
      <c r="L13" s="5" t="s">
        <v>38</v>
      </c>
    </row>
    <row r="14" customFormat="false" ht="35.05" hidden="false" customHeight="false" outlineLevel="0" collapsed="false">
      <c r="A14" s="5" t="s">
        <v>80</v>
      </c>
      <c r="B14" s="5" t="s">
        <v>81</v>
      </c>
      <c r="C14" s="5" t="s">
        <v>34</v>
      </c>
      <c r="D14" s="5" t="n">
        <v>4.1</v>
      </c>
      <c r="E14" s="5" t="n">
        <v>56</v>
      </c>
      <c r="F14" s="5"/>
      <c r="G14" s="5" t="s">
        <v>82</v>
      </c>
      <c r="H14" s="5" t="s">
        <v>83</v>
      </c>
      <c r="I14" s="5"/>
      <c r="J14" s="5" t="s">
        <v>37</v>
      </c>
      <c r="K14" s="5"/>
      <c r="L14" s="5" t="s">
        <v>38</v>
      </c>
    </row>
    <row r="15" customFormat="false" ht="46.25" hidden="false" customHeight="false" outlineLevel="0" collapsed="false">
      <c r="A15" s="5" t="s">
        <v>80</v>
      </c>
      <c r="B15" s="5" t="s">
        <v>84</v>
      </c>
      <c r="C15" s="5" t="s">
        <v>85</v>
      </c>
      <c r="D15" s="5" t="n">
        <v>4</v>
      </c>
      <c r="E15" s="5" t="n">
        <v>274</v>
      </c>
      <c r="F15" s="5" t="s">
        <v>47</v>
      </c>
      <c r="G15" s="5" t="s">
        <v>86</v>
      </c>
      <c r="H15" s="5" t="s">
        <v>87</v>
      </c>
      <c r="I15" s="5"/>
      <c r="J15" s="5" t="s">
        <v>37</v>
      </c>
      <c r="K15" s="5"/>
      <c r="L15" s="5" t="s">
        <v>38</v>
      </c>
    </row>
    <row r="16" customFormat="false" ht="46.25" hidden="false" customHeight="false" outlineLevel="0" collapsed="false">
      <c r="A16" s="5" t="s">
        <v>80</v>
      </c>
      <c r="B16" s="5" t="s">
        <v>88</v>
      </c>
      <c r="C16" s="5" t="s">
        <v>89</v>
      </c>
      <c r="D16" s="5" t="n">
        <v>4.3</v>
      </c>
      <c r="E16" s="5" t="n">
        <v>279</v>
      </c>
      <c r="F16" s="5"/>
      <c r="G16" s="5" t="s">
        <v>90</v>
      </c>
      <c r="H16" s="5" t="s">
        <v>91</v>
      </c>
      <c r="I16" s="5"/>
      <c r="J16" s="5" t="s">
        <v>37</v>
      </c>
      <c r="K16" s="5"/>
      <c r="L16" s="5" t="s">
        <v>38</v>
      </c>
    </row>
    <row r="17" customFormat="false" ht="46.25" hidden="false" customHeight="false" outlineLevel="0" collapsed="false">
      <c r="A17" s="5" t="s">
        <v>80</v>
      </c>
      <c r="B17" s="5" t="s">
        <v>92</v>
      </c>
      <c r="C17" s="5" t="s">
        <v>34</v>
      </c>
      <c r="D17" s="5" t="n">
        <v>4.3</v>
      </c>
      <c r="E17" s="5" t="n">
        <v>2401</v>
      </c>
      <c r="F17" s="5" t="s">
        <v>73</v>
      </c>
      <c r="G17" s="5" t="s">
        <v>93</v>
      </c>
      <c r="H17" s="5" t="s">
        <v>94</v>
      </c>
      <c r="I17" s="5"/>
      <c r="J17" s="5" t="s">
        <v>37</v>
      </c>
      <c r="K17" s="5"/>
      <c r="L17" s="5" t="s">
        <v>38</v>
      </c>
    </row>
    <row r="18" customFormat="false" ht="35.05" hidden="false" customHeight="false" outlineLevel="0" collapsed="false">
      <c r="A18" s="5" t="s">
        <v>80</v>
      </c>
      <c r="B18" s="5" t="s">
        <v>95</v>
      </c>
      <c r="C18" s="5" t="s">
        <v>51</v>
      </c>
      <c r="D18" s="5" t="n">
        <v>4.4</v>
      </c>
      <c r="E18" s="5" t="n">
        <v>173</v>
      </c>
      <c r="F18" s="5"/>
      <c r="G18" s="5" t="s">
        <v>96</v>
      </c>
      <c r="H18" s="5" t="s">
        <v>97</v>
      </c>
      <c r="I18" s="5"/>
      <c r="J18" s="5" t="s">
        <v>37</v>
      </c>
      <c r="K18" s="5"/>
      <c r="L18" s="5" t="s">
        <v>38</v>
      </c>
    </row>
    <row r="19" customFormat="false" ht="46.25" hidden="false" customHeight="false" outlineLevel="0" collapsed="false">
      <c r="A19" s="5" t="s">
        <v>80</v>
      </c>
      <c r="B19" s="5" t="s">
        <v>98</v>
      </c>
      <c r="C19" s="5" t="s">
        <v>99</v>
      </c>
      <c r="D19" s="5" t="n">
        <v>4.3</v>
      </c>
      <c r="E19" s="5" t="n">
        <v>398</v>
      </c>
      <c r="F19" s="5" t="s">
        <v>100</v>
      </c>
      <c r="G19" s="5" t="s">
        <v>101</v>
      </c>
      <c r="H19" s="5" t="s">
        <v>102</v>
      </c>
      <c r="I19" s="5"/>
      <c r="J19" s="5" t="s">
        <v>37</v>
      </c>
      <c r="K19" s="5"/>
      <c r="L19" s="5" t="s">
        <v>38</v>
      </c>
    </row>
    <row r="20" customFormat="false" ht="35.05" hidden="false" customHeight="false" outlineLevel="0" collapsed="false">
      <c r="A20" s="5" t="s">
        <v>103</v>
      </c>
      <c r="B20" s="5" t="s">
        <v>104</v>
      </c>
      <c r="C20" s="5" t="s">
        <v>51</v>
      </c>
      <c r="D20" s="5" t="n">
        <v>3.7</v>
      </c>
      <c r="E20" s="5" t="n">
        <v>26</v>
      </c>
      <c r="F20" s="5" t="s">
        <v>47</v>
      </c>
      <c r="G20" s="5" t="s">
        <v>105</v>
      </c>
      <c r="H20" s="5" t="s">
        <v>106</v>
      </c>
      <c r="I20" s="5"/>
      <c r="J20" s="5" t="s">
        <v>37</v>
      </c>
      <c r="K20" s="5"/>
      <c r="L20" s="5" t="s">
        <v>38</v>
      </c>
    </row>
    <row r="21" customFormat="false" ht="35.05" hidden="false" customHeight="false" outlineLevel="0" collapsed="false">
      <c r="A21" s="5" t="s">
        <v>103</v>
      </c>
      <c r="B21" s="5" t="s">
        <v>107</v>
      </c>
      <c r="C21" s="5" t="s">
        <v>34</v>
      </c>
      <c r="D21" s="5" t="n">
        <v>3.9</v>
      </c>
      <c r="E21" s="5" t="n">
        <v>213</v>
      </c>
      <c r="F21" s="5" t="s">
        <v>108</v>
      </c>
      <c r="G21" s="5" t="s">
        <v>109</v>
      </c>
      <c r="H21" s="5" t="s">
        <v>110</v>
      </c>
      <c r="I21" s="5"/>
      <c r="J21" s="5" t="s">
        <v>37</v>
      </c>
      <c r="K21" s="5"/>
      <c r="L21" s="5" t="s">
        <v>38</v>
      </c>
    </row>
    <row r="22" customFormat="false" ht="35.05" hidden="false" customHeight="false" outlineLevel="0" collapsed="false">
      <c r="A22" s="5" t="s">
        <v>103</v>
      </c>
      <c r="B22" s="5" t="s">
        <v>111</v>
      </c>
      <c r="C22" s="5" t="s">
        <v>51</v>
      </c>
      <c r="D22" s="5" t="n">
        <v>4</v>
      </c>
      <c r="E22" s="5" t="n">
        <v>366</v>
      </c>
      <c r="F22" s="5"/>
      <c r="G22" s="5" t="s">
        <v>112</v>
      </c>
      <c r="H22" s="5" t="s">
        <v>113</v>
      </c>
      <c r="I22" s="5"/>
      <c r="J22" s="5" t="s">
        <v>37</v>
      </c>
      <c r="K22" s="5"/>
      <c r="L22" s="5" t="s">
        <v>38</v>
      </c>
    </row>
    <row r="23" customFormat="false" ht="35.05" hidden="false" customHeight="false" outlineLevel="0" collapsed="false">
      <c r="A23" s="5" t="s">
        <v>103</v>
      </c>
      <c r="B23" s="5" t="s">
        <v>114</v>
      </c>
      <c r="C23" s="5" t="s">
        <v>51</v>
      </c>
      <c r="D23" s="5" t="n">
        <v>4.3</v>
      </c>
      <c r="E23" s="5" t="n">
        <v>92</v>
      </c>
      <c r="F23" s="5" t="s">
        <v>47</v>
      </c>
      <c r="G23" s="5" t="s">
        <v>115</v>
      </c>
      <c r="H23" s="5" t="s">
        <v>116</v>
      </c>
      <c r="I23" s="5"/>
      <c r="J23" s="5" t="s">
        <v>37</v>
      </c>
      <c r="K23" s="5"/>
      <c r="L23" s="5" t="s">
        <v>38</v>
      </c>
    </row>
    <row r="24" customFormat="false" ht="23.85" hidden="false" customHeight="false" outlineLevel="0" collapsed="false">
      <c r="A24" s="5" t="s">
        <v>103</v>
      </c>
      <c r="B24" s="5" t="s">
        <v>117</v>
      </c>
      <c r="C24" s="5" t="s">
        <v>51</v>
      </c>
      <c r="D24" s="5" t="n">
        <v>3.1</v>
      </c>
      <c r="E24" s="5" t="n">
        <v>85</v>
      </c>
      <c r="F24" s="5" t="s">
        <v>73</v>
      </c>
      <c r="G24" s="5" t="s">
        <v>118</v>
      </c>
      <c r="H24" s="5" t="s">
        <v>119</v>
      </c>
      <c r="I24" s="5"/>
      <c r="J24" s="5" t="s">
        <v>37</v>
      </c>
      <c r="K24" s="5"/>
      <c r="L24" s="5" t="s">
        <v>38</v>
      </c>
    </row>
    <row r="25" customFormat="false" ht="46.25" hidden="false" customHeight="false" outlineLevel="0" collapsed="false">
      <c r="A25" s="5" t="s">
        <v>103</v>
      </c>
      <c r="B25" s="5" t="s">
        <v>120</v>
      </c>
      <c r="C25" s="5" t="s">
        <v>51</v>
      </c>
      <c r="D25" s="5" t="n">
        <v>3.9</v>
      </c>
      <c r="E25" s="5" t="n">
        <v>66</v>
      </c>
      <c r="F25" s="5"/>
      <c r="G25" s="5" t="s">
        <v>121</v>
      </c>
      <c r="H25" s="5" t="s">
        <v>122</v>
      </c>
      <c r="I25" s="5"/>
      <c r="J25" s="5" t="s">
        <v>37</v>
      </c>
      <c r="K25" s="5"/>
      <c r="L25" s="5" t="s">
        <v>38</v>
      </c>
    </row>
    <row r="26" customFormat="false" ht="35.05" hidden="false" customHeight="false" outlineLevel="0" collapsed="false">
      <c r="A26" s="5" t="s">
        <v>123</v>
      </c>
      <c r="B26" s="5" t="s">
        <v>124</v>
      </c>
      <c r="C26" s="5" t="s">
        <v>51</v>
      </c>
      <c r="D26" s="5" t="n">
        <v>4.2</v>
      </c>
      <c r="E26" s="5" t="n">
        <v>110</v>
      </c>
      <c r="F26" s="5" t="s">
        <v>125</v>
      </c>
      <c r="G26" s="5" t="s">
        <v>126</v>
      </c>
      <c r="H26" s="5" t="s">
        <v>127</v>
      </c>
      <c r="I26" s="5"/>
      <c r="J26" s="5" t="s">
        <v>37</v>
      </c>
      <c r="K26" s="5"/>
      <c r="L26" s="5" t="s">
        <v>38</v>
      </c>
    </row>
    <row r="27" customFormat="false" ht="46.25" hidden="false" customHeight="false" outlineLevel="0" collapsed="false">
      <c r="A27" s="5" t="s">
        <v>123</v>
      </c>
      <c r="B27" s="5" t="s">
        <v>128</v>
      </c>
      <c r="C27" s="5" t="s">
        <v>51</v>
      </c>
      <c r="D27" s="5" t="n">
        <v>4.5</v>
      </c>
      <c r="E27" s="5" t="n">
        <v>158</v>
      </c>
      <c r="F27" s="5" t="s">
        <v>100</v>
      </c>
      <c r="G27" s="5" t="s">
        <v>129</v>
      </c>
      <c r="H27" s="5" t="s">
        <v>130</v>
      </c>
      <c r="I27" s="5"/>
      <c r="J27" s="5" t="s">
        <v>37</v>
      </c>
      <c r="K27" s="5"/>
      <c r="L27" s="5" t="s">
        <v>38</v>
      </c>
    </row>
    <row r="28" customFormat="false" ht="23.85" hidden="false" customHeight="false" outlineLevel="0" collapsed="false">
      <c r="A28" s="5" t="s">
        <v>123</v>
      </c>
      <c r="B28" s="5" t="s">
        <v>131</v>
      </c>
      <c r="C28" s="5" t="s">
        <v>51</v>
      </c>
      <c r="D28" s="5" t="n">
        <v>4.5</v>
      </c>
      <c r="E28" s="5" t="n">
        <v>21</v>
      </c>
      <c r="F28" s="5"/>
      <c r="G28" s="5" t="s">
        <v>132</v>
      </c>
      <c r="H28" s="5" t="s">
        <v>133</v>
      </c>
      <c r="I28" s="5"/>
      <c r="J28" s="5" t="s">
        <v>37</v>
      </c>
      <c r="K28" s="5"/>
      <c r="L28" s="5" t="s">
        <v>38</v>
      </c>
    </row>
    <row r="29" customFormat="false" ht="46.25" hidden="false" customHeight="false" outlineLevel="0" collapsed="false">
      <c r="A29" s="5" t="s">
        <v>123</v>
      </c>
      <c r="B29" s="5" t="s">
        <v>134</v>
      </c>
      <c r="C29" s="5" t="s">
        <v>51</v>
      </c>
      <c r="D29" s="5" t="n">
        <v>3.6</v>
      </c>
      <c r="E29" s="5" t="n">
        <v>298</v>
      </c>
      <c r="F29" s="5" t="s">
        <v>135</v>
      </c>
      <c r="G29" s="5" t="s">
        <v>136</v>
      </c>
      <c r="H29" s="5" t="s">
        <v>137</v>
      </c>
      <c r="I29" s="5"/>
      <c r="J29" s="5" t="s">
        <v>37</v>
      </c>
      <c r="K29" s="5"/>
      <c r="L29" s="5" t="s">
        <v>38</v>
      </c>
    </row>
    <row r="30" customFormat="false" ht="35.05" hidden="false" customHeight="false" outlineLevel="0" collapsed="false">
      <c r="A30" s="5" t="s">
        <v>123</v>
      </c>
      <c r="B30" s="5" t="s">
        <v>138</v>
      </c>
      <c r="C30" s="5" t="s">
        <v>34</v>
      </c>
      <c r="D30" s="5" t="n">
        <v>3.9</v>
      </c>
      <c r="E30" s="5" t="n">
        <v>249</v>
      </c>
      <c r="F30" s="5"/>
      <c r="G30" s="5" t="s">
        <v>139</v>
      </c>
      <c r="H30" s="5" t="s">
        <v>140</v>
      </c>
      <c r="I30" s="5"/>
      <c r="J30" s="5" t="s">
        <v>37</v>
      </c>
      <c r="K30" s="5"/>
      <c r="L30" s="5" t="s">
        <v>38</v>
      </c>
    </row>
    <row r="31" customFormat="false" ht="35.05" hidden="false" customHeight="false" outlineLevel="0" collapsed="false">
      <c r="A31" s="5" t="s">
        <v>123</v>
      </c>
      <c r="B31" s="5" t="s">
        <v>141</v>
      </c>
      <c r="C31" s="5" t="s">
        <v>51</v>
      </c>
      <c r="D31" s="5" t="n">
        <v>4.1</v>
      </c>
      <c r="E31" s="5" t="n">
        <v>260</v>
      </c>
      <c r="F31" s="5" t="s">
        <v>63</v>
      </c>
      <c r="G31" s="5" t="s">
        <v>142</v>
      </c>
      <c r="H31" s="5" t="s">
        <v>143</v>
      </c>
      <c r="I31" s="5"/>
      <c r="J31" s="5" t="s">
        <v>37</v>
      </c>
      <c r="K31" s="5"/>
      <c r="L31" s="5" t="s">
        <v>38</v>
      </c>
    </row>
    <row r="32" customFormat="false" ht="35.05" hidden="false" customHeight="false" outlineLevel="0" collapsed="false">
      <c r="A32" s="5" t="s">
        <v>144</v>
      </c>
      <c r="B32" s="5" t="s">
        <v>81</v>
      </c>
      <c r="C32" s="5" t="s">
        <v>51</v>
      </c>
      <c r="D32" s="5" t="n">
        <v>4.1</v>
      </c>
      <c r="E32" s="5" t="n">
        <v>1055</v>
      </c>
      <c r="F32" s="5" t="s">
        <v>73</v>
      </c>
      <c r="G32" s="5" t="s">
        <v>145</v>
      </c>
      <c r="H32" s="5" t="s">
        <v>146</v>
      </c>
      <c r="I32" s="5"/>
      <c r="J32" s="5" t="s">
        <v>37</v>
      </c>
      <c r="K32" s="5"/>
      <c r="L32" s="5" t="s">
        <v>38</v>
      </c>
    </row>
    <row r="33" customFormat="false" ht="46.25" hidden="false" customHeight="false" outlineLevel="0" collapsed="false">
      <c r="A33" s="5" t="s">
        <v>144</v>
      </c>
      <c r="B33" s="5" t="s">
        <v>147</v>
      </c>
      <c r="C33" s="5" t="s">
        <v>51</v>
      </c>
      <c r="D33" s="5" t="n">
        <v>3.9</v>
      </c>
      <c r="E33" s="5" t="n">
        <v>471</v>
      </c>
      <c r="F33" s="5"/>
      <c r="G33" s="5" t="s">
        <v>148</v>
      </c>
      <c r="H33" s="5" t="s">
        <v>149</v>
      </c>
      <c r="I33" s="5"/>
      <c r="J33" s="5" t="s">
        <v>37</v>
      </c>
      <c r="K33" s="5"/>
      <c r="L33" s="5" t="s">
        <v>38</v>
      </c>
    </row>
    <row r="34" customFormat="false" ht="23.85" hidden="false" customHeight="false" outlineLevel="0" collapsed="false">
      <c r="A34" s="5" t="s">
        <v>144</v>
      </c>
      <c r="B34" s="5" t="s">
        <v>150</v>
      </c>
      <c r="C34" s="5" t="s">
        <v>51</v>
      </c>
      <c r="D34" s="5" t="n">
        <v>4.5</v>
      </c>
      <c r="E34" s="5" t="n">
        <v>22</v>
      </c>
      <c r="F34" s="5"/>
      <c r="G34" s="5" t="s">
        <v>151</v>
      </c>
      <c r="H34" s="5" t="s">
        <v>152</v>
      </c>
      <c r="I34" s="5"/>
      <c r="J34" s="5" t="s">
        <v>37</v>
      </c>
      <c r="K34" s="5"/>
      <c r="L34" s="5" t="s">
        <v>38</v>
      </c>
    </row>
    <row r="35" customFormat="false" ht="23.85" hidden="false" customHeight="false" outlineLevel="0" collapsed="false">
      <c r="A35" s="5" t="s">
        <v>144</v>
      </c>
      <c r="B35" s="5" t="s">
        <v>153</v>
      </c>
      <c r="C35" s="5" t="s">
        <v>51</v>
      </c>
      <c r="D35" s="5" t="n">
        <v>4.6</v>
      </c>
      <c r="E35" s="5" t="n">
        <v>11</v>
      </c>
      <c r="F35" s="5"/>
      <c r="G35" s="5" t="s">
        <v>154</v>
      </c>
      <c r="H35" s="5" t="s">
        <v>155</v>
      </c>
      <c r="I35" s="5"/>
      <c r="J35" s="5" t="s">
        <v>37</v>
      </c>
      <c r="K35" s="5"/>
      <c r="L35" s="5" t="s">
        <v>38</v>
      </c>
    </row>
    <row r="36" customFormat="false" ht="23.85" hidden="false" customHeight="false" outlineLevel="0" collapsed="false">
      <c r="A36" s="5" t="s">
        <v>144</v>
      </c>
      <c r="B36" s="5" t="s">
        <v>156</v>
      </c>
      <c r="C36" s="5" t="s">
        <v>34</v>
      </c>
      <c r="D36" s="5" t="n">
        <v>4</v>
      </c>
      <c r="E36" s="5" t="n">
        <v>75</v>
      </c>
      <c r="F36" s="5" t="s">
        <v>73</v>
      </c>
      <c r="G36" s="5" t="s">
        <v>157</v>
      </c>
      <c r="H36" s="5" t="s">
        <v>158</v>
      </c>
      <c r="I36" s="5"/>
      <c r="J36" s="5" t="s">
        <v>37</v>
      </c>
      <c r="K36" s="5"/>
      <c r="L36" s="5" t="s">
        <v>38</v>
      </c>
    </row>
    <row r="37" customFormat="false" ht="35.05" hidden="false" customHeight="false" outlineLevel="0" collapsed="false">
      <c r="A37" s="5" t="s">
        <v>144</v>
      </c>
      <c r="B37" s="5" t="s">
        <v>159</v>
      </c>
      <c r="C37" s="5" t="s">
        <v>51</v>
      </c>
      <c r="D37" s="5" t="n">
        <v>4.2</v>
      </c>
      <c r="E37" s="5" t="n">
        <v>78</v>
      </c>
      <c r="F37" s="5" t="s">
        <v>160</v>
      </c>
      <c r="G37" s="5" t="s">
        <v>161</v>
      </c>
      <c r="H37" s="5" t="s">
        <v>162</v>
      </c>
      <c r="I37" s="5"/>
      <c r="J37" s="5" t="s">
        <v>37</v>
      </c>
      <c r="K37" s="5"/>
      <c r="L37" s="5" t="s">
        <v>38</v>
      </c>
    </row>
    <row r="38" customFormat="false" ht="46.25" hidden="false" customHeight="false" outlineLevel="0" collapsed="false">
      <c r="A38" s="5" t="s">
        <v>163</v>
      </c>
      <c r="B38" s="5" t="s">
        <v>164</v>
      </c>
      <c r="C38" s="5" t="s">
        <v>51</v>
      </c>
      <c r="D38" s="5" t="n">
        <v>4.2</v>
      </c>
      <c r="E38" s="5" t="n">
        <v>252</v>
      </c>
      <c r="F38" s="5"/>
      <c r="G38" s="5" t="s">
        <v>165</v>
      </c>
      <c r="H38" s="5" t="s">
        <v>166</v>
      </c>
      <c r="I38" s="5"/>
      <c r="J38" s="5" t="s">
        <v>37</v>
      </c>
      <c r="K38" s="5"/>
      <c r="L38" s="5" t="s">
        <v>38</v>
      </c>
    </row>
    <row r="39" customFormat="false" ht="35.05" hidden="false" customHeight="false" outlineLevel="0" collapsed="false">
      <c r="A39" s="5" t="s">
        <v>163</v>
      </c>
      <c r="B39" s="5" t="s">
        <v>81</v>
      </c>
      <c r="C39" s="5" t="s">
        <v>34</v>
      </c>
      <c r="D39" s="5" t="n">
        <v>4.1</v>
      </c>
      <c r="E39" s="5" t="n">
        <v>56</v>
      </c>
      <c r="F39" s="5"/>
      <c r="G39" s="5" t="s">
        <v>82</v>
      </c>
      <c r="H39" s="5" t="s">
        <v>167</v>
      </c>
      <c r="I39" s="5"/>
      <c r="J39" s="5" t="s">
        <v>37</v>
      </c>
      <c r="K39" s="5"/>
      <c r="L39" s="5" t="s">
        <v>38</v>
      </c>
    </row>
    <row r="40" customFormat="false" ht="35.05" hidden="false" customHeight="false" outlineLevel="0" collapsed="false">
      <c r="A40" s="5" t="s">
        <v>163</v>
      </c>
      <c r="B40" s="5" t="s">
        <v>168</v>
      </c>
      <c r="C40" s="5" t="s">
        <v>51</v>
      </c>
      <c r="D40" s="5" t="n">
        <v>4</v>
      </c>
      <c r="E40" s="5" t="n">
        <v>425</v>
      </c>
      <c r="F40" s="5"/>
      <c r="G40" s="5" t="s">
        <v>169</v>
      </c>
      <c r="H40" s="5" t="s">
        <v>170</v>
      </c>
      <c r="I40" s="5"/>
      <c r="J40" s="5" t="s">
        <v>37</v>
      </c>
      <c r="K40" s="5"/>
      <c r="L40" s="5" t="s">
        <v>38</v>
      </c>
    </row>
    <row r="41" customFormat="false" ht="35.05" hidden="false" customHeight="false" outlineLevel="0" collapsed="false">
      <c r="A41" s="5" t="s">
        <v>163</v>
      </c>
      <c r="B41" s="5" t="s">
        <v>171</v>
      </c>
      <c r="C41" s="5" t="s">
        <v>51</v>
      </c>
      <c r="D41" s="5" t="n">
        <v>4</v>
      </c>
      <c r="E41" s="5" t="n">
        <v>44</v>
      </c>
      <c r="F41" s="5"/>
      <c r="G41" s="5" t="s">
        <v>172</v>
      </c>
      <c r="H41" s="5" t="s">
        <v>173</v>
      </c>
      <c r="I41" s="5"/>
      <c r="J41" s="5" t="s">
        <v>37</v>
      </c>
      <c r="K41" s="5"/>
      <c r="L41" s="5" t="s">
        <v>38</v>
      </c>
    </row>
    <row r="42" customFormat="false" ht="23.85" hidden="false" customHeight="false" outlineLevel="0" collapsed="false">
      <c r="A42" s="5" t="s">
        <v>163</v>
      </c>
      <c r="B42" s="5" t="s">
        <v>174</v>
      </c>
      <c r="C42" s="5" t="s">
        <v>175</v>
      </c>
      <c r="D42" s="5" t="n">
        <v>5</v>
      </c>
      <c r="E42" s="5" t="n">
        <v>35</v>
      </c>
      <c r="F42" s="5"/>
      <c r="G42" s="5" t="s">
        <v>176</v>
      </c>
      <c r="H42" s="5" t="s">
        <v>177</v>
      </c>
      <c r="I42" s="5"/>
      <c r="J42" s="5" t="s">
        <v>37</v>
      </c>
      <c r="K42" s="5"/>
      <c r="L42" s="5" t="s">
        <v>38</v>
      </c>
    </row>
    <row r="43" customFormat="false" ht="35.05" hidden="false" customHeight="false" outlineLevel="0" collapsed="false">
      <c r="A43" s="5" t="s">
        <v>163</v>
      </c>
      <c r="B43" s="5" t="s">
        <v>178</v>
      </c>
      <c r="C43" s="5" t="s">
        <v>51</v>
      </c>
      <c r="D43" s="5" t="n">
        <v>3.9</v>
      </c>
      <c r="E43" s="5" t="n">
        <v>175</v>
      </c>
      <c r="F43" s="5" t="s">
        <v>125</v>
      </c>
      <c r="G43" s="5" t="s">
        <v>179</v>
      </c>
      <c r="H43" s="5" t="s">
        <v>180</v>
      </c>
      <c r="I43" s="5"/>
      <c r="J43" s="5" t="s">
        <v>37</v>
      </c>
      <c r="K43" s="5"/>
      <c r="L43" s="5" t="s">
        <v>38</v>
      </c>
    </row>
    <row r="44" customFormat="false" ht="23.85" hidden="false" customHeight="false" outlineLevel="0" collapsed="false">
      <c r="A44" s="5" t="s">
        <v>181</v>
      </c>
      <c r="B44" s="5" t="s">
        <v>182</v>
      </c>
      <c r="C44" s="5" t="s">
        <v>183</v>
      </c>
      <c r="D44" s="5" t="n">
        <v>4.8</v>
      </c>
      <c r="E44" s="5" t="n">
        <v>264</v>
      </c>
      <c r="F44" s="5"/>
      <c r="G44" s="5" t="s">
        <v>184</v>
      </c>
      <c r="H44" s="5" t="s">
        <v>185</v>
      </c>
      <c r="I44" s="5"/>
      <c r="J44" s="5" t="s">
        <v>37</v>
      </c>
      <c r="K44" s="5"/>
      <c r="L44" s="5" t="s">
        <v>38</v>
      </c>
    </row>
    <row r="45" customFormat="false" ht="46.25" hidden="false" customHeight="false" outlineLevel="0" collapsed="false">
      <c r="A45" s="5" t="s">
        <v>181</v>
      </c>
      <c r="B45" s="5" t="s">
        <v>186</v>
      </c>
      <c r="C45" s="5" t="s">
        <v>51</v>
      </c>
      <c r="D45" s="5" t="n">
        <v>4.1</v>
      </c>
      <c r="E45" s="5" t="n">
        <v>23</v>
      </c>
      <c r="F45" s="5"/>
      <c r="G45" s="5" t="s">
        <v>187</v>
      </c>
      <c r="H45" s="5" t="s">
        <v>188</v>
      </c>
      <c r="I45" s="5"/>
      <c r="J45" s="5" t="s">
        <v>37</v>
      </c>
      <c r="K45" s="5"/>
      <c r="L45" s="5" t="s">
        <v>38</v>
      </c>
    </row>
    <row r="46" customFormat="false" ht="23.85" hidden="false" customHeight="false" outlineLevel="0" collapsed="false">
      <c r="A46" s="5" t="s">
        <v>181</v>
      </c>
      <c r="B46" s="5" t="s">
        <v>189</v>
      </c>
      <c r="C46" s="5" t="s">
        <v>51</v>
      </c>
      <c r="D46" s="5" t="n">
        <v>4</v>
      </c>
      <c r="E46" s="5" t="n">
        <v>246</v>
      </c>
      <c r="F46" s="5"/>
      <c r="G46" s="5" t="s">
        <v>190</v>
      </c>
      <c r="H46" s="5" t="s">
        <v>191</v>
      </c>
      <c r="I46" s="5"/>
      <c r="J46" s="5" t="s">
        <v>37</v>
      </c>
      <c r="K46" s="5"/>
      <c r="L46" s="5" t="s">
        <v>38</v>
      </c>
    </row>
    <row r="47" customFormat="false" ht="35.05" hidden="false" customHeight="false" outlineLevel="0" collapsed="false">
      <c r="A47" s="5" t="s">
        <v>181</v>
      </c>
      <c r="B47" s="5" t="s">
        <v>192</v>
      </c>
      <c r="C47" s="5" t="s">
        <v>51</v>
      </c>
      <c r="D47" s="5" t="n">
        <v>4.2</v>
      </c>
      <c r="E47" s="5" t="n">
        <v>62</v>
      </c>
      <c r="F47" s="5"/>
      <c r="G47" s="5" t="s">
        <v>193</v>
      </c>
      <c r="H47" s="5" t="s">
        <v>194</v>
      </c>
      <c r="I47" s="5"/>
      <c r="J47" s="5" t="s">
        <v>37</v>
      </c>
      <c r="K47" s="5"/>
      <c r="L47" s="5" t="s">
        <v>38</v>
      </c>
    </row>
    <row r="48" customFormat="false" ht="23.85" hidden="false" customHeight="false" outlineLevel="0" collapsed="false">
      <c r="A48" s="5" t="s">
        <v>181</v>
      </c>
      <c r="B48" s="5" t="s">
        <v>195</v>
      </c>
      <c r="C48" s="5" t="s">
        <v>51</v>
      </c>
      <c r="D48" s="5" t="n">
        <v>4.3</v>
      </c>
      <c r="E48" s="5" t="n">
        <v>13</v>
      </c>
      <c r="F48" s="5"/>
      <c r="G48" s="5" t="s">
        <v>196</v>
      </c>
      <c r="H48" s="5" t="s">
        <v>197</v>
      </c>
      <c r="I48" s="5"/>
      <c r="J48" s="5" t="s">
        <v>37</v>
      </c>
      <c r="K48" s="5"/>
      <c r="L48" s="5" t="s">
        <v>38</v>
      </c>
    </row>
    <row r="49" customFormat="false" ht="46.25" hidden="false" customHeight="false" outlineLevel="0" collapsed="false">
      <c r="A49" s="5" t="s">
        <v>181</v>
      </c>
      <c r="B49" s="5" t="s">
        <v>198</v>
      </c>
      <c r="C49" s="5" t="s">
        <v>51</v>
      </c>
      <c r="D49" s="5" t="n">
        <v>4</v>
      </c>
      <c r="E49" s="5" t="n">
        <v>34</v>
      </c>
      <c r="F49" s="5"/>
      <c r="G49" s="5" t="s">
        <v>199</v>
      </c>
      <c r="H49" s="5" t="s">
        <v>200</v>
      </c>
      <c r="I49" s="5"/>
      <c r="J49" s="5" t="s">
        <v>37</v>
      </c>
      <c r="K49" s="5"/>
      <c r="L49" s="5" t="s">
        <v>38</v>
      </c>
    </row>
    <row r="50" customFormat="false" ht="35.05" hidden="false" customHeight="false" outlineLevel="0" collapsed="false">
      <c r="A50" s="5" t="s">
        <v>201</v>
      </c>
      <c r="B50" s="5" t="s">
        <v>202</v>
      </c>
      <c r="C50" s="5" t="s">
        <v>51</v>
      </c>
      <c r="D50" s="5" t="n">
        <v>4.4</v>
      </c>
      <c r="E50" s="5" t="n">
        <v>73</v>
      </c>
      <c r="F50" s="5" t="s">
        <v>47</v>
      </c>
      <c r="G50" s="5" t="s">
        <v>203</v>
      </c>
      <c r="H50" s="5" t="s">
        <v>204</v>
      </c>
      <c r="I50" s="5"/>
      <c r="J50" s="5" t="s">
        <v>37</v>
      </c>
      <c r="K50" s="5"/>
      <c r="L50" s="5" t="s">
        <v>38</v>
      </c>
    </row>
    <row r="51" customFormat="false" ht="23.85" hidden="false" customHeight="false" outlineLevel="0" collapsed="false">
      <c r="A51" s="5" t="s">
        <v>201</v>
      </c>
      <c r="B51" s="5" t="s">
        <v>205</v>
      </c>
      <c r="C51" s="5" t="s">
        <v>51</v>
      </c>
      <c r="D51" s="5" t="n">
        <v>4.7</v>
      </c>
      <c r="E51" s="5" t="n">
        <v>10</v>
      </c>
      <c r="F51" s="5"/>
      <c r="G51" s="5" t="s">
        <v>206</v>
      </c>
      <c r="H51" s="5" t="s">
        <v>207</v>
      </c>
      <c r="I51" s="5"/>
      <c r="J51" s="5" t="s">
        <v>37</v>
      </c>
      <c r="K51" s="5"/>
      <c r="L51" s="5" t="s">
        <v>38</v>
      </c>
    </row>
    <row r="52" customFormat="false" ht="35.05" hidden="false" customHeight="false" outlineLevel="0" collapsed="false">
      <c r="A52" s="5" t="s">
        <v>201</v>
      </c>
      <c r="B52" s="5" t="s">
        <v>208</v>
      </c>
      <c r="C52" s="5" t="s">
        <v>183</v>
      </c>
      <c r="D52" s="5" t="n">
        <v>4.7</v>
      </c>
      <c r="E52" s="5" t="n">
        <v>137</v>
      </c>
      <c r="F52" s="5"/>
      <c r="G52" s="5" t="s">
        <v>209</v>
      </c>
      <c r="H52" s="5" t="s">
        <v>210</v>
      </c>
      <c r="I52" s="5"/>
      <c r="J52" s="5" t="s">
        <v>37</v>
      </c>
      <c r="K52" s="5"/>
      <c r="L52" s="5" t="s">
        <v>38</v>
      </c>
    </row>
    <row r="53" customFormat="false" ht="23.85" hidden="false" customHeight="false" outlineLevel="0" collapsed="false">
      <c r="A53" s="5" t="s">
        <v>201</v>
      </c>
      <c r="B53" s="5" t="s">
        <v>211</v>
      </c>
      <c r="C53" s="5" t="s">
        <v>51</v>
      </c>
      <c r="D53" s="5" t="n">
        <v>4.7</v>
      </c>
      <c r="E53" s="5" t="n">
        <v>9</v>
      </c>
      <c r="F53" s="5"/>
      <c r="G53" s="5" t="s">
        <v>212</v>
      </c>
      <c r="H53" s="5" t="s">
        <v>213</v>
      </c>
      <c r="I53" s="5"/>
      <c r="J53" s="5" t="s">
        <v>37</v>
      </c>
      <c r="K53" s="5"/>
      <c r="L53" s="5" t="s">
        <v>38</v>
      </c>
    </row>
    <row r="54" customFormat="false" ht="35.05" hidden="false" customHeight="false" outlineLevel="0" collapsed="false">
      <c r="A54" s="5" t="s">
        <v>201</v>
      </c>
      <c r="B54" s="5" t="s">
        <v>214</v>
      </c>
      <c r="C54" s="5" t="s">
        <v>215</v>
      </c>
      <c r="D54" s="5" t="n">
        <v>4.1</v>
      </c>
      <c r="E54" s="5" t="n">
        <v>8</v>
      </c>
      <c r="F54" s="5"/>
      <c r="G54" s="5" t="s">
        <v>216</v>
      </c>
      <c r="H54" s="5" t="s">
        <v>217</v>
      </c>
      <c r="I54" s="5"/>
      <c r="J54" s="5" t="s">
        <v>37</v>
      </c>
      <c r="K54" s="5"/>
      <c r="L54" s="5" t="s">
        <v>38</v>
      </c>
    </row>
    <row r="55" customFormat="false" ht="23.85" hidden="false" customHeight="false" outlineLevel="0" collapsed="false">
      <c r="A55" s="5" t="s">
        <v>201</v>
      </c>
      <c r="B55" s="5" t="s">
        <v>218</v>
      </c>
      <c r="C55" s="5" t="s">
        <v>51</v>
      </c>
      <c r="D55" s="5" t="n">
        <v>4.3</v>
      </c>
      <c r="E55" s="5" t="n">
        <v>10</v>
      </c>
      <c r="F55" s="5"/>
      <c r="G55" s="5" t="s">
        <v>219</v>
      </c>
      <c r="H55" s="5" t="s">
        <v>220</v>
      </c>
      <c r="I55" s="5"/>
      <c r="J55" s="5" t="s">
        <v>37</v>
      </c>
      <c r="K55" s="5"/>
      <c r="L55" s="5" t="s">
        <v>38</v>
      </c>
    </row>
    <row r="56" customFormat="false" ht="46.25" hidden="false" customHeight="false" outlineLevel="0" collapsed="false">
      <c r="A56" s="5" t="s">
        <v>221</v>
      </c>
      <c r="B56" s="5" t="s">
        <v>222</v>
      </c>
      <c r="C56" s="5" t="s">
        <v>223</v>
      </c>
      <c r="D56" s="5" t="n">
        <v>4.7</v>
      </c>
      <c r="E56" s="5" t="n">
        <v>59</v>
      </c>
      <c r="F56" s="5" t="s">
        <v>63</v>
      </c>
      <c r="G56" s="5" t="s">
        <v>224</v>
      </c>
      <c r="H56" s="5" t="s">
        <v>225</v>
      </c>
      <c r="I56" s="5"/>
      <c r="J56" s="5" t="s">
        <v>37</v>
      </c>
      <c r="K56" s="5"/>
      <c r="L56" s="5" t="s">
        <v>38</v>
      </c>
    </row>
    <row r="57" customFormat="false" ht="23.85" hidden="false" customHeight="false" outlineLevel="0" collapsed="false">
      <c r="A57" s="5" t="s">
        <v>221</v>
      </c>
      <c r="B57" s="5" t="s">
        <v>226</v>
      </c>
      <c r="C57" s="5" t="s">
        <v>51</v>
      </c>
      <c r="D57" s="5" t="n">
        <v>3.9</v>
      </c>
      <c r="E57" s="5" t="n">
        <v>42</v>
      </c>
      <c r="F57" s="5" t="s">
        <v>227</v>
      </c>
      <c r="G57" s="5" t="s">
        <v>228</v>
      </c>
      <c r="H57" s="5" t="s">
        <v>229</v>
      </c>
      <c r="I57" s="5"/>
      <c r="J57" s="5" t="s">
        <v>37</v>
      </c>
      <c r="K57" s="5"/>
      <c r="L57" s="5" t="s">
        <v>38</v>
      </c>
    </row>
    <row r="58" customFormat="false" ht="23.85" hidden="false" customHeight="false" outlineLevel="0" collapsed="false">
      <c r="A58" s="5" t="s">
        <v>221</v>
      </c>
      <c r="B58" s="5" t="s">
        <v>230</v>
      </c>
      <c r="C58" s="5" t="s">
        <v>51</v>
      </c>
      <c r="D58" s="5" t="n">
        <v>2.6</v>
      </c>
      <c r="E58" s="5" t="n">
        <v>23</v>
      </c>
      <c r="F58" s="5"/>
      <c r="G58" s="5" t="s">
        <v>231</v>
      </c>
      <c r="H58" s="5" t="s">
        <v>232</v>
      </c>
      <c r="I58" s="5"/>
      <c r="J58" s="5" t="s">
        <v>37</v>
      </c>
      <c r="K58" s="5"/>
      <c r="L58" s="5" t="s">
        <v>38</v>
      </c>
    </row>
    <row r="59" customFormat="false" ht="35.05" hidden="false" customHeight="false" outlineLevel="0" collapsed="false">
      <c r="A59" s="5" t="s">
        <v>221</v>
      </c>
      <c r="B59" s="5" t="s">
        <v>233</v>
      </c>
      <c r="C59" s="5" t="s">
        <v>51</v>
      </c>
      <c r="D59" s="5" t="n">
        <v>4.2</v>
      </c>
      <c r="E59" s="5" t="n">
        <v>14</v>
      </c>
      <c r="F59" s="5"/>
      <c r="G59" s="5" t="s">
        <v>234</v>
      </c>
      <c r="H59" s="5" t="s">
        <v>235</v>
      </c>
      <c r="I59" s="5"/>
      <c r="J59" s="5" t="s">
        <v>37</v>
      </c>
      <c r="K59" s="5"/>
      <c r="L59" s="5" t="s">
        <v>38</v>
      </c>
    </row>
    <row r="60" customFormat="false" ht="46.25" hidden="false" customHeight="false" outlineLevel="0" collapsed="false">
      <c r="A60" s="5" t="s">
        <v>221</v>
      </c>
      <c r="B60" s="5" t="s">
        <v>236</v>
      </c>
      <c r="C60" s="5" t="s">
        <v>51</v>
      </c>
      <c r="D60" s="5" t="n">
        <v>3.6</v>
      </c>
      <c r="E60" s="5" t="n">
        <v>55</v>
      </c>
      <c r="F60" s="5"/>
      <c r="G60" s="5" t="s">
        <v>237</v>
      </c>
      <c r="H60" s="5" t="s">
        <v>238</v>
      </c>
      <c r="I60" s="5"/>
      <c r="J60" s="5" t="s">
        <v>37</v>
      </c>
      <c r="K60" s="5"/>
      <c r="L60" s="5" t="s">
        <v>38</v>
      </c>
    </row>
    <row r="61" customFormat="false" ht="35.05" hidden="false" customHeight="false" outlineLevel="0" collapsed="false">
      <c r="A61" s="5" t="s">
        <v>221</v>
      </c>
      <c r="B61" s="5" t="s">
        <v>239</v>
      </c>
      <c r="C61" s="5" t="s">
        <v>240</v>
      </c>
      <c r="D61" s="5" t="n">
        <v>3.5</v>
      </c>
      <c r="E61" s="5" t="n">
        <v>178</v>
      </c>
      <c r="F61" s="5"/>
      <c r="G61" s="5" t="s">
        <v>241</v>
      </c>
      <c r="H61" s="5" t="s">
        <v>242</v>
      </c>
      <c r="I61" s="5"/>
      <c r="J61" s="5" t="s">
        <v>37</v>
      </c>
      <c r="K61" s="5"/>
      <c r="L61" s="5" t="s">
        <v>38</v>
      </c>
    </row>
    <row r="62" customFormat="false" ht="23.85" hidden="false" customHeight="false" outlineLevel="0" collapsed="false">
      <c r="A62" s="5" t="s">
        <v>243</v>
      </c>
      <c r="B62" s="5" t="s">
        <v>244</v>
      </c>
      <c r="C62" s="5" t="s">
        <v>51</v>
      </c>
      <c r="D62" s="5" t="n">
        <v>4.7</v>
      </c>
      <c r="E62" s="5" t="n">
        <v>21</v>
      </c>
      <c r="F62" s="5"/>
      <c r="G62" s="5" t="s">
        <v>245</v>
      </c>
      <c r="H62" s="5" t="s">
        <v>246</v>
      </c>
      <c r="I62" s="5"/>
      <c r="J62" s="5" t="s">
        <v>37</v>
      </c>
      <c r="K62" s="5"/>
      <c r="L62" s="5" t="s">
        <v>38</v>
      </c>
    </row>
    <row r="63" customFormat="false" ht="46.25" hidden="false" customHeight="false" outlineLevel="0" collapsed="false">
      <c r="A63" s="5" t="s">
        <v>243</v>
      </c>
      <c r="B63" s="5" t="s">
        <v>247</v>
      </c>
      <c r="C63" s="5" t="s">
        <v>51</v>
      </c>
      <c r="D63" s="5" t="n">
        <v>4.2</v>
      </c>
      <c r="E63" s="5" t="n">
        <v>65</v>
      </c>
      <c r="F63" s="5" t="s">
        <v>125</v>
      </c>
      <c r="G63" s="5" t="s">
        <v>248</v>
      </c>
      <c r="H63" s="5" t="s">
        <v>249</v>
      </c>
      <c r="I63" s="5"/>
      <c r="J63" s="5" t="s">
        <v>37</v>
      </c>
      <c r="K63" s="5"/>
      <c r="L63" s="5" t="s">
        <v>38</v>
      </c>
    </row>
    <row r="64" customFormat="false" ht="35.05" hidden="false" customHeight="false" outlineLevel="0" collapsed="false">
      <c r="A64" s="5" t="s">
        <v>243</v>
      </c>
      <c r="B64" s="5" t="s">
        <v>250</v>
      </c>
      <c r="C64" s="5" t="s">
        <v>34</v>
      </c>
      <c r="D64" s="5" t="n">
        <v>4</v>
      </c>
      <c r="E64" s="5" t="n">
        <v>55</v>
      </c>
      <c r="F64" s="5"/>
      <c r="G64" s="5" t="s">
        <v>251</v>
      </c>
      <c r="H64" s="5" t="s">
        <v>252</v>
      </c>
      <c r="I64" s="5"/>
      <c r="J64" s="5" t="s">
        <v>37</v>
      </c>
      <c r="K64" s="5"/>
      <c r="L64" s="5" t="s">
        <v>38</v>
      </c>
    </row>
    <row r="65" customFormat="false" ht="46.25" hidden="false" customHeight="false" outlineLevel="0" collapsed="false">
      <c r="A65" s="5" t="s">
        <v>243</v>
      </c>
      <c r="B65" s="5" t="s">
        <v>253</v>
      </c>
      <c r="C65" s="5" t="s">
        <v>51</v>
      </c>
      <c r="D65" s="5" t="n">
        <v>4.1</v>
      </c>
      <c r="E65" s="5" t="n">
        <v>17</v>
      </c>
      <c r="F65" s="5"/>
      <c r="G65" s="5" t="s">
        <v>254</v>
      </c>
      <c r="H65" s="5" t="s">
        <v>255</v>
      </c>
      <c r="I65" s="5"/>
      <c r="J65" s="5" t="s">
        <v>37</v>
      </c>
      <c r="K65" s="5"/>
      <c r="L65" s="5" t="s">
        <v>38</v>
      </c>
    </row>
    <row r="66" customFormat="false" ht="35.05" hidden="false" customHeight="false" outlineLevel="0" collapsed="false">
      <c r="A66" s="5" t="s">
        <v>243</v>
      </c>
      <c r="B66" s="5" t="s">
        <v>256</v>
      </c>
      <c r="C66" s="5" t="s">
        <v>51</v>
      </c>
      <c r="D66" s="5" t="n">
        <v>3.8</v>
      </c>
      <c r="E66" s="5" t="n">
        <v>39</v>
      </c>
      <c r="F66" s="5"/>
      <c r="G66" s="5" t="s">
        <v>257</v>
      </c>
      <c r="H66" s="5" t="s">
        <v>258</v>
      </c>
      <c r="I66" s="5"/>
      <c r="J66" s="5" t="s">
        <v>37</v>
      </c>
      <c r="K66" s="5"/>
      <c r="L66" s="5" t="s">
        <v>38</v>
      </c>
    </row>
    <row r="67" customFormat="false" ht="35.05" hidden="false" customHeight="false" outlineLevel="0" collapsed="false">
      <c r="A67" s="5" t="s">
        <v>243</v>
      </c>
      <c r="B67" s="5" t="s">
        <v>259</v>
      </c>
      <c r="C67" s="5" t="s">
        <v>51</v>
      </c>
      <c r="D67" s="5" t="n">
        <v>3.4</v>
      </c>
      <c r="E67" s="5" t="n">
        <v>33</v>
      </c>
      <c r="F67" s="5"/>
      <c r="G67" s="5" t="s">
        <v>260</v>
      </c>
      <c r="H67" s="5" t="s">
        <v>261</v>
      </c>
      <c r="I67" s="5"/>
      <c r="J67" s="5" t="s">
        <v>37</v>
      </c>
      <c r="K67" s="5"/>
      <c r="L67" s="5" t="s">
        <v>38</v>
      </c>
    </row>
    <row r="68" customFormat="false" ht="35.05" hidden="false" customHeight="false" outlineLevel="0" collapsed="false">
      <c r="A68" s="5" t="s">
        <v>262</v>
      </c>
      <c r="B68" s="5" t="s">
        <v>263</v>
      </c>
      <c r="C68" s="5" t="s">
        <v>34</v>
      </c>
      <c r="D68" s="5" t="n">
        <v>3.6</v>
      </c>
      <c r="E68" s="5" t="n">
        <v>274</v>
      </c>
      <c r="F68" s="5" t="s">
        <v>264</v>
      </c>
      <c r="G68" s="5" t="s">
        <v>265</v>
      </c>
      <c r="H68" s="5" t="s">
        <v>266</v>
      </c>
      <c r="I68" s="5"/>
      <c r="J68" s="5" t="s">
        <v>37</v>
      </c>
      <c r="K68" s="5"/>
      <c r="L68" s="5" t="s">
        <v>38</v>
      </c>
    </row>
    <row r="69" customFormat="false" ht="46.25" hidden="false" customHeight="false" outlineLevel="0" collapsed="false">
      <c r="A69" s="5" t="s">
        <v>262</v>
      </c>
      <c r="B69" s="5" t="s">
        <v>267</v>
      </c>
      <c r="C69" s="5" t="s">
        <v>51</v>
      </c>
      <c r="D69" s="5" t="n">
        <v>4.1</v>
      </c>
      <c r="E69" s="5" t="n">
        <v>202</v>
      </c>
      <c r="F69" s="5"/>
      <c r="G69" s="5" t="s">
        <v>268</v>
      </c>
      <c r="H69" s="5" t="s">
        <v>269</v>
      </c>
      <c r="I69" s="5"/>
      <c r="J69" s="5" t="s">
        <v>37</v>
      </c>
      <c r="K69" s="5"/>
      <c r="L69" s="5" t="s">
        <v>38</v>
      </c>
    </row>
    <row r="70" customFormat="false" ht="35.05" hidden="false" customHeight="false" outlineLevel="0" collapsed="false">
      <c r="A70" s="5" t="s">
        <v>262</v>
      </c>
      <c r="B70" s="5" t="s">
        <v>270</v>
      </c>
      <c r="C70" s="5" t="s">
        <v>89</v>
      </c>
      <c r="D70" s="5" t="n">
        <v>4.4</v>
      </c>
      <c r="E70" s="5" t="n">
        <v>78</v>
      </c>
      <c r="F70" s="5"/>
      <c r="G70" s="5" t="s">
        <v>271</v>
      </c>
      <c r="H70" s="5" t="s">
        <v>272</v>
      </c>
      <c r="I70" s="5"/>
      <c r="J70" s="5" t="s">
        <v>37</v>
      </c>
      <c r="K70" s="5"/>
      <c r="L70" s="5" t="s">
        <v>38</v>
      </c>
    </row>
    <row r="71" customFormat="false" ht="35.05" hidden="false" customHeight="false" outlineLevel="0" collapsed="false">
      <c r="A71" s="5" t="s">
        <v>262</v>
      </c>
      <c r="B71" s="5" t="s">
        <v>273</v>
      </c>
      <c r="C71" s="5" t="s">
        <v>34</v>
      </c>
      <c r="D71" s="5" t="n">
        <v>4.8</v>
      </c>
      <c r="E71" s="5" t="n">
        <v>33</v>
      </c>
      <c r="F71" s="5"/>
      <c r="G71" s="5" t="s">
        <v>274</v>
      </c>
      <c r="H71" s="5" t="s">
        <v>275</v>
      </c>
      <c r="I71" s="5"/>
      <c r="J71" s="5" t="s">
        <v>37</v>
      </c>
      <c r="K71" s="5"/>
      <c r="L71" s="5" t="s">
        <v>38</v>
      </c>
    </row>
    <row r="72" customFormat="false" ht="35.05" hidden="false" customHeight="false" outlineLevel="0" collapsed="false">
      <c r="A72" s="5" t="s">
        <v>262</v>
      </c>
      <c r="B72" s="5" t="s">
        <v>276</v>
      </c>
      <c r="C72" s="5" t="s">
        <v>34</v>
      </c>
      <c r="D72" s="5" t="n">
        <v>4.4</v>
      </c>
      <c r="E72" s="5" t="n">
        <v>348</v>
      </c>
      <c r="F72" s="5" t="s">
        <v>47</v>
      </c>
      <c r="G72" s="5" t="s">
        <v>277</v>
      </c>
      <c r="H72" s="5" t="s">
        <v>278</v>
      </c>
      <c r="I72" s="5"/>
      <c r="J72" s="5" t="s">
        <v>37</v>
      </c>
      <c r="K72" s="5"/>
      <c r="L72" s="5" t="s">
        <v>38</v>
      </c>
    </row>
    <row r="73" customFormat="false" ht="35.05" hidden="false" customHeight="false" outlineLevel="0" collapsed="false">
      <c r="A73" s="5" t="s">
        <v>262</v>
      </c>
      <c r="B73" s="5" t="s">
        <v>279</v>
      </c>
      <c r="C73" s="5" t="s">
        <v>51</v>
      </c>
      <c r="D73" s="5" t="n">
        <v>4.1</v>
      </c>
      <c r="E73" s="5" t="n">
        <v>180</v>
      </c>
      <c r="F73" s="5" t="s">
        <v>47</v>
      </c>
      <c r="G73" s="5" t="s">
        <v>280</v>
      </c>
      <c r="H73" s="5" t="s">
        <v>281</v>
      </c>
      <c r="I73" s="5"/>
      <c r="J73" s="5" t="s">
        <v>37</v>
      </c>
      <c r="K73" s="5"/>
      <c r="L73" s="5" t="s">
        <v>38</v>
      </c>
    </row>
    <row r="74" customFormat="false" ht="35.05" hidden="false" customHeight="false" outlineLevel="0" collapsed="false">
      <c r="A74" s="5" t="s">
        <v>282</v>
      </c>
      <c r="B74" s="5" t="s">
        <v>283</v>
      </c>
      <c r="C74" s="5" t="s">
        <v>51</v>
      </c>
      <c r="D74" s="5" t="n">
        <v>4</v>
      </c>
      <c r="E74" s="5" t="n">
        <v>23</v>
      </c>
      <c r="F74" s="5"/>
      <c r="G74" s="5" t="s">
        <v>284</v>
      </c>
      <c r="H74" s="5" t="s">
        <v>285</v>
      </c>
      <c r="I74" s="5"/>
      <c r="J74" s="5" t="s">
        <v>37</v>
      </c>
      <c r="K74" s="5"/>
      <c r="L74" s="5" t="s">
        <v>38</v>
      </c>
    </row>
    <row r="75" customFormat="false" ht="35.05" hidden="false" customHeight="false" outlineLevel="0" collapsed="false">
      <c r="A75" s="5" t="s">
        <v>282</v>
      </c>
      <c r="B75" s="5" t="s">
        <v>286</v>
      </c>
      <c r="C75" s="5" t="s">
        <v>51</v>
      </c>
      <c r="D75" s="5" t="n">
        <v>3.9</v>
      </c>
      <c r="E75" s="5" t="n">
        <v>99</v>
      </c>
      <c r="F75" s="5"/>
      <c r="G75" s="5" t="s">
        <v>287</v>
      </c>
      <c r="H75" s="5" t="s">
        <v>288</v>
      </c>
      <c r="I75" s="5"/>
      <c r="J75" s="5" t="s">
        <v>37</v>
      </c>
      <c r="K75" s="5"/>
      <c r="L75" s="5" t="s">
        <v>38</v>
      </c>
    </row>
    <row r="76" customFormat="false" ht="35.05" hidden="false" customHeight="false" outlineLevel="0" collapsed="false">
      <c r="A76" s="5" t="s">
        <v>282</v>
      </c>
      <c r="B76" s="5" t="s">
        <v>289</v>
      </c>
      <c r="C76" s="5" t="s">
        <v>51</v>
      </c>
      <c r="D76" s="5" t="n">
        <v>4.1</v>
      </c>
      <c r="E76" s="5" t="n">
        <v>21</v>
      </c>
      <c r="F76" s="5"/>
      <c r="G76" s="5" t="s">
        <v>290</v>
      </c>
      <c r="H76" s="5" t="s">
        <v>291</v>
      </c>
      <c r="I76" s="5"/>
      <c r="J76" s="5" t="s">
        <v>37</v>
      </c>
      <c r="K76" s="5"/>
      <c r="L76" s="5" t="s">
        <v>38</v>
      </c>
    </row>
    <row r="77" customFormat="false" ht="23.85" hidden="false" customHeight="false" outlineLevel="0" collapsed="false">
      <c r="A77" s="5" t="s">
        <v>282</v>
      </c>
      <c r="B77" s="5" t="s">
        <v>292</v>
      </c>
      <c r="C77" s="5" t="s">
        <v>51</v>
      </c>
      <c r="D77" s="5" t="n">
        <v>3.6</v>
      </c>
      <c r="E77" s="5" t="n">
        <v>75</v>
      </c>
      <c r="F77" s="5"/>
      <c r="G77" s="5" t="s">
        <v>293</v>
      </c>
      <c r="H77" s="5" t="s">
        <v>294</v>
      </c>
      <c r="I77" s="5"/>
      <c r="J77" s="5" t="s">
        <v>37</v>
      </c>
      <c r="K77" s="5"/>
      <c r="L77" s="5" t="s">
        <v>38</v>
      </c>
    </row>
    <row r="78" customFormat="false" ht="46.25" hidden="false" customHeight="false" outlineLevel="0" collapsed="false">
      <c r="A78" s="5" t="s">
        <v>282</v>
      </c>
      <c r="B78" s="5" t="s">
        <v>295</v>
      </c>
      <c r="C78" s="5" t="s">
        <v>51</v>
      </c>
      <c r="D78" s="5" t="n">
        <v>3.4</v>
      </c>
      <c r="E78" s="5" t="n">
        <v>84</v>
      </c>
      <c r="F78" s="5" t="s">
        <v>227</v>
      </c>
      <c r="G78" s="5" t="s">
        <v>296</v>
      </c>
      <c r="H78" s="5" t="s">
        <v>297</v>
      </c>
      <c r="I78" s="5"/>
      <c r="J78" s="5" t="s">
        <v>37</v>
      </c>
      <c r="K78" s="5"/>
      <c r="L78" s="5" t="s">
        <v>38</v>
      </c>
    </row>
    <row r="79" customFormat="false" ht="23.85" hidden="false" customHeight="false" outlineLevel="0" collapsed="false">
      <c r="A79" s="5" t="s">
        <v>282</v>
      </c>
      <c r="B79" s="5" t="s">
        <v>298</v>
      </c>
      <c r="C79" s="5" t="s">
        <v>240</v>
      </c>
      <c r="D79" s="5" t="n">
        <v>4</v>
      </c>
      <c r="E79" s="5" t="n">
        <v>102</v>
      </c>
      <c r="F79" s="5"/>
      <c r="G79" s="5" t="s">
        <v>299</v>
      </c>
      <c r="H79" s="5" t="s">
        <v>300</v>
      </c>
      <c r="I79" s="5"/>
      <c r="J79" s="5" t="s">
        <v>37</v>
      </c>
      <c r="K79" s="5"/>
      <c r="L79" s="5" t="s">
        <v>38</v>
      </c>
    </row>
    <row r="80" customFormat="false" ht="35.05" hidden="false" customHeight="false" outlineLevel="0" collapsed="false">
      <c r="A80" s="5" t="s">
        <v>301</v>
      </c>
      <c r="B80" s="5" t="s">
        <v>302</v>
      </c>
      <c r="C80" s="5" t="s">
        <v>51</v>
      </c>
      <c r="D80" s="5" t="n">
        <v>4.5</v>
      </c>
      <c r="E80" s="5" t="n">
        <v>41</v>
      </c>
      <c r="F80" s="5"/>
      <c r="G80" s="5" t="s">
        <v>303</v>
      </c>
      <c r="H80" s="5" t="s">
        <v>304</v>
      </c>
      <c r="I80" s="5"/>
      <c r="J80" s="5" t="s">
        <v>37</v>
      </c>
      <c r="K80" s="5"/>
      <c r="L80" s="5" t="s">
        <v>38</v>
      </c>
    </row>
    <row r="81" customFormat="false" ht="46.25" hidden="false" customHeight="false" outlineLevel="0" collapsed="false">
      <c r="A81" s="5" t="s">
        <v>301</v>
      </c>
      <c r="B81" s="5" t="s">
        <v>305</v>
      </c>
      <c r="C81" s="5" t="s">
        <v>51</v>
      </c>
      <c r="D81" s="5" t="n">
        <v>4.6</v>
      </c>
      <c r="E81" s="5" t="n">
        <v>19</v>
      </c>
      <c r="F81" s="5"/>
      <c r="G81" s="5" t="s">
        <v>306</v>
      </c>
      <c r="H81" s="5" t="s">
        <v>307</v>
      </c>
      <c r="I81" s="5"/>
      <c r="J81" s="5" t="s">
        <v>37</v>
      </c>
      <c r="K81" s="5"/>
      <c r="L81" s="5" t="s">
        <v>38</v>
      </c>
    </row>
    <row r="82" customFormat="false" ht="46.25" hidden="false" customHeight="false" outlineLevel="0" collapsed="false">
      <c r="A82" s="5" t="s">
        <v>301</v>
      </c>
      <c r="B82" s="5" t="s">
        <v>308</v>
      </c>
      <c r="C82" s="5" t="s">
        <v>51</v>
      </c>
      <c r="D82" s="5" t="n">
        <v>4.1</v>
      </c>
      <c r="E82" s="5" t="n">
        <v>56</v>
      </c>
      <c r="F82" s="5"/>
      <c r="G82" s="5" t="s">
        <v>309</v>
      </c>
      <c r="H82" s="5" t="s">
        <v>310</v>
      </c>
      <c r="I82" s="5"/>
      <c r="J82" s="5" t="s">
        <v>37</v>
      </c>
      <c r="K82" s="5"/>
      <c r="L82" s="5" t="s">
        <v>38</v>
      </c>
    </row>
    <row r="83" customFormat="false" ht="35.05" hidden="false" customHeight="false" outlineLevel="0" collapsed="false">
      <c r="A83" s="5" t="s">
        <v>301</v>
      </c>
      <c r="B83" s="5" t="s">
        <v>311</v>
      </c>
      <c r="C83" s="5" t="s">
        <v>51</v>
      </c>
      <c r="D83" s="5" t="n">
        <v>4.4</v>
      </c>
      <c r="E83" s="5" t="n">
        <v>64</v>
      </c>
      <c r="F83" s="5" t="s">
        <v>63</v>
      </c>
      <c r="G83" s="5" t="s">
        <v>312</v>
      </c>
      <c r="H83" s="5" t="s">
        <v>313</v>
      </c>
      <c r="I83" s="5"/>
      <c r="J83" s="5" t="s">
        <v>37</v>
      </c>
      <c r="K83" s="5"/>
      <c r="L83" s="5" t="s">
        <v>38</v>
      </c>
    </row>
    <row r="84" customFormat="false" ht="23.85" hidden="false" customHeight="false" outlineLevel="0" collapsed="false">
      <c r="A84" s="5" t="s">
        <v>301</v>
      </c>
      <c r="B84" s="5" t="s">
        <v>314</v>
      </c>
      <c r="C84" s="5" t="s">
        <v>240</v>
      </c>
      <c r="D84" s="5" t="n">
        <v>5</v>
      </c>
      <c r="E84" s="5" t="n">
        <v>4</v>
      </c>
      <c r="F84" s="5"/>
      <c r="G84" s="5" t="s">
        <v>315</v>
      </c>
      <c r="H84" s="5" t="s">
        <v>316</v>
      </c>
      <c r="I84" s="5"/>
      <c r="J84" s="5" t="s">
        <v>37</v>
      </c>
      <c r="K84" s="5"/>
      <c r="L84" s="5" t="s">
        <v>38</v>
      </c>
    </row>
    <row r="85" customFormat="false" ht="23.85" hidden="false" customHeight="false" outlineLevel="0" collapsed="false">
      <c r="A85" s="5" t="s">
        <v>301</v>
      </c>
      <c r="B85" s="5" t="s">
        <v>317</v>
      </c>
      <c r="C85" s="5" t="s">
        <v>51</v>
      </c>
      <c r="D85" s="5" t="n">
        <v>3.3</v>
      </c>
      <c r="E85" s="5" t="n">
        <v>22</v>
      </c>
      <c r="F85" s="5"/>
      <c r="G85" s="5" t="s">
        <v>318</v>
      </c>
      <c r="H85" s="5" t="s">
        <v>319</v>
      </c>
      <c r="I85" s="5"/>
      <c r="J85" s="5" t="s">
        <v>37</v>
      </c>
      <c r="K85" s="5"/>
      <c r="L85" s="5" t="s">
        <v>38</v>
      </c>
    </row>
    <row r="86" customFormat="false" ht="35.05" hidden="false" customHeight="false" outlineLevel="0" collapsed="false">
      <c r="A86" s="5" t="s">
        <v>320</v>
      </c>
      <c r="B86" s="5" t="s">
        <v>321</v>
      </c>
      <c r="C86" s="5" t="s">
        <v>51</v>
      </c>
      <c r="D86" s="5" t="n">
        <v>4</v>
      </c>
      <c r="E86" s="5" t="n">
        <v>72</v>
      </c>
      <c r="F86" s="5"/>
      <c r="G86" s="5" t="s">
        <v>322</v>
      </c>
      <c r="H86" s="5" t="s">
        <v>323</v>
      </c>
      <c r="I86" s="5"/>
      <c r="J86" s="5" t="s">
        <v>37</v>
      </c>
      <c r="K86" s="5"/>
      <c r="L86" s="5" t="s">
        <v>38</v>
      </c>
    </row>
    <row r="87" customFormat="false" ht="46.25" hidden="false" customHeight="false" outlineLevel="0" collapsed="false">
      <c r="A87" s="5" t="s">
        <v>320</v>
      </c>
      <c r="B87" s="5" t="s">
        <v>324</v>
      </c>
      <c r="C87" s="5" t="s">
        <v>51</v>
      </c>
      <c r="D87" s="5" t="n">
        <v>4</v>
      </c>
      <c r="E87" s="5" t="n">
        <v>86</v>
      </c>
      <c r="F87" s="5" t="s">
        <v>100</v>
      </c>
      <c r="G87" s="5" t="s">
        <v>325</v>
      </c>
      <c r="H87" s="5" t="s">
        <v>326</v>
      </c>
      <c r="I87" s="5"/>
      <c r="J87" s="5" t="s">
        <v>37</v>
      </c>
      <c r="K87" s="5"/>
      <c r="L87" s="5" t="s">
        <v>38</v>
      </c>
    </row>
    <row r="88" customFormat="false" ht="35.05" hidden="false" customHeight="false" outlineLevel="0" collapsed="false">
      <c r="A88" s="5" t="s">
        <v>320</v>
      </c>
      <c r="B88" s="5" t="s">
        <v>327</v>
      </c>
      <c r="C88" s="5" t="s">
        <v>34</v>
      </c>
      <c r="D88" s="5" t="n">
        <v>4</v>
      </c>
      <c r="E88" s="5" t="n">
        <v>61</v>
      </c>
      <c r="F88" s="5" t="s">
        <v>328</v>
      </c>
      <c r="G88" s="5" t="s">
        <v>329</v>
      </c>
      <c r="H88" s="5" t="s">
        <v>330</v>
      </c>
      <c r="I88" s="5"/>
      <c r="J88" s="5" t="s">
        <v>37</v>
      </c>
      <c r="K88" s="5"/>
      <c r="L88" s="5" t="s">
        <v>38</v>
      </c>
    </row>
    <row r="89" customFormat="false" ht="23.85" hidden="false" customHeight="false" outlineLevel="0" collapsed="false">
      <c r="A89" s="5" t="s">
        <v>320</v>
      </c>
      <c r="B89" s="5" t="s">
        <v>331</v>
      </c>
      <c r="C89" s="5" t="s">
        <v>332</v>
      </c>
      <c r="D89" s="5" t="n">
        <v>4.6</v>
      </c>
      <c r="E89" s="5" t="n">
        <v>52</v>
      </c>
      <c r="F89" s="5"/>
      <c r="G89" s="5" t="s">
        <v>333</v>
      </c>
      <c r="H89" s="5" t="s">
        <v>334</v>
      </c>
      <c r="I89" s="5"/>
      <c r="J89" s="5" t="s">
        <v>37</v>
      </c>
      <c r="K89" s="5"/>
      <c r="L89" s="5" t="s">
        <v>38</v>
      </c>
    </row>
    <row r="90" customFormat="false" ht="23.85" hidden="false" customHeight="false" outlineLevel="0" collapsed="false">
      <c r="A90" s="5" t="s">
        <v>320</v>
      </c>
      <c r="B90" s="5" t="s">
        <v>335</v>
      </c>
      <c r="C90" s="5" t="s">
        <v>51</v>
      </c>
      <c r="D90" s="5" t="n">
        <v>4.4</v>
      </c>
      <c r="E90" s="5" t="n">
        <v>45</v>
      </c>
      <c r="F90" s="5" t="s">
        <v>336</v>
      </c>
      <c r="G90" s="5" t="s">
        <v>337</v>
      </c>
      <c r="H90" s="5" t="s">
        <v>338</v>
      </c>
      <c r="I90" s="5"/>
      <c r="J90" s="5" t="s">
        <v>37</v>
      </c>
      <c r="K90" s="5"/>
      <c r="L90" s="5" t="s">
        <v>38</v>
      </c>
    </row>
    <row r="91" customFormat="false" ht="23.85" hidden="false" customHeight="false" outlineLevel="0" collapsed="false">
      <c r="A91" s="5" t="s">
        <v>339</v>
      </c>
      <c r="B91" s="5" t="s">
        <v>340</v>
      </c>
      <c r="C91" s="5" t="s">
        <v>51</v>
      </c>
      <c r="D91" s="5" t="n">
        <v>4.8</v>
      </c>
      <c r="E91" s="5" t="n">
        <v>10</v>
      </c>
      <c r="F91" s="5"/>
      <c r="G91" s="5" t="s">
        <v>341</v>
      </c>
      <c r="H91" s="5" t="s">
        <v>342</v>
      </c>
      <c r="I91" s="5"/>
      <c r="J91" s="5" t="s">
        <v>37</v>
      </c>
      <c r="K91" s="5"/>
      <c r="L91" s="5" t="s">
        <v>38</v>
      </c>
    </row>
    <row r="92" customFormat="false" ht="46.25" hidden="false" customHeight="false" outlineLevel="0" collapsed="false">
      <c r="A92" s="5" t="s">
        <v>339</v>
      </c>
      <c r="B92" s="5" t="s">
        <v>343</v>
      </c>
      <c r="C92" s="5" t="s">
        <v>51</v>
      </c>
      <c r="D92" s="5" t="n">
        <v>3.7</v>
      </c>
      <c r="E92" s="5" t="n">
        <v>328</v>
      </c>
      <c r="F92" s="5" t="s">
        <v>344</v>
      </c>
      <c r="G92" s="5" t="s">
        <v>345</v>
      </c>
      <c r="H92" s="5" t="s">
        <v>346</v>
      </c>
      <c r="I92" s="5"/>
      <c r="J92" s="5" t="s">
        <v>37</v>
      </c>
      <c r="K92" s="5"/>
      <c r="L92" s="5" t="s">
        <v>38</v>
      </c>
    </row>
    <row r="93" customFormat="false" ht="35.05" hidden="false" customHeight="false" outlineLevel="0" collapsed="false">
      <c r="A93" s="5" t="s">
        <v>339</v>
      </c>
      <c r="B93" s="5" t="s">
        <v>347</v>
      </c>
      <c r="C93" s="5" t="s">
        <v>51</v>
      </c>
      <c r="D93" s="5" t="n">
        <v>3.7</v>
      </c>
      <c r="E93" s="5" t="n">
        <v>51</v>
      </c>
      <c r="F93" s="5"/>
      <c r="G93" s="5" t="s">
        <v>348</v>
      </c>
      <c r="H93" s="5" t="s">
        <v>349</v>
      </c>
      <c r="I93" s="5"/>
      <c r="J93" s="5" t="s">
        <v>37</v>
      </c>
      <c r="K93" s="5"/>
      <c r="L93" s="5" t="s">
        <v>38</v>
      </c>
    </row>
    <row r="94" customFormat="false" ht="23.85" hidden="false" customHeight="false" outlineLevel="0" collapsed="false">
      <c r="A94" s="5" t="s">
        <v>339</v>
      </c>
      <c r="B94" s="5" t="s">
        <v>350</v>
      </c>
      <c r="C94" s="5" t="s">
        <v>34</v>
      </c>
      <c r="D94" s="5" t="n">
        <v>3.4</v>
      </c>
      <c r="E94" s="5" t="n">
        <v>8</v>
      </c>
      <c r="F94" s="5"/>
      <c r="G94" s="5" t="s">
        <v>351</v>
      </c>
      <c r="H94" s="5" t="s">
        <v>352</v>
      </c>
      <c r="I94" s="5"/>
      <c r="J94" s="5" t="s">
        <v>37</v>
      </c>
      <c r="K94" s="5"/>
      <c r="L94" s="5" t="s">
        <v>38</v>
      </c>
    </row>
    <row r="95" customFormat="false" ht="46.25" hidden="false" customHeight="false" outlineLevel="0" collapsed="false">
      <c r="A95" s="5" t="s">
        <v>339</v>
      </c>
      <c r="B95" s="5" t="s">
        <v>353</v>
      </c>
      <c r="C95" s="5" t="s">
        <v>51</v>
      </c>
      <c r="D95" s="5" t="n">
        <v>3.6</v>
      </c>
      <c r="E95" s="5" t="n">
        <v>17</v>
      </c>
      <c r="F95" s="5"/>
      <c r="G95" s="5" t="s">
        <v>354</v>
      </c>
      <c r="H95" s="5" t="s">
        <v>355</v>
      </c>
      <c r="I95" s="5"/>
      <c r="J95" s="5" t="s">
        <v>37</v>
      </c>
      <c r="K95" s="5"/>
      <c r="L95" s="5" t="s">
        <v>38</v>
      </c>
    </row>
    <row r="96" customFormat="false" ht="35.05" hidden="false" customHeight="false" outlineLevel="0" collapsed="false">
      <c r="A96" s="5" t="s">
        <v>339</v>
      </c>
      <c r="B96" s="5" t="s">
        <v>356</v>
      </c>
      <c r="C96" s="5" t="s">
        <v>34</v>
      </c>
      <c r="D96" s="5" t="n">
        <v>3.3</v>
      </c>
      <c r="E96" s="5" t="n">
        <v>15</v>
      </c>
      <c r="F96" s="5"/>
      <c r="G96" s="5" t="s">
        <v>357</v>
      </c>
      <c r="H96" s="5" t="s">
        <v>358</v>
      </c>
      <c r="I96" s="5"/>
      <c r="J96" s="5" t="s">
        <v>37</v>
      </c>
      <c r="K96" s="5"/>
      <c r="L96" s="5" t="s">
        <v>38</v>
      </c>
    </row>
    <row r="97" customFormat="false" ht="35.05" hidden="false" customHeight="false" outlineLevel="0" collapsed="false">
      <c r="A97" s="5" t="s">
        <v>359</v>
      </c>
      <c r="B97" s="5" t="s">
        <v>360</v>
      </c>
      <c r="C97" s="5" t="s">
        <v>51</v>
      </c>
      <c r="D97" s="5" t="n">
        <v>4</v>
      </c>
      <c r="E97" s="5" t="n">
        <v>11</v>
      </c>
      <c r="F97" s="5"/>
      <c r="G97" s="5" t="s">
        <v>361</v>
      </c>
      <c r="H97" s="5" t="s">
        <v>362</v>
      </c>
      <c r="I97" s="5"/>
      <c r="J97" s="5" t="s">
        <v>37</v>
      </c>
      <c r="K97" s="5"/>
      <c r="L97" s="5" t="s">
        <v>38</v>
      </c>
    </row>
    <row r="98" customFormat="false" ht="46.25" hidden="false" customHeight="false" outlineLevel="0" collapsed="false">
      <c r="A98" s="5" t="s">
        <v>359</v>
      </c>
      <c r="B98" s="5" t="s">
        <v>363</v>
      </c>
      <c r="C98" s="5" t="s">
        <v>51</v>
      </c>
      <c r="D98" s="5" t="n">
        <v>4.1</v>
      </c>
      <c r="E98" s="5" t="n">
        <v>67</v>
      </c>
      <c r="F98" s="5" t="s">
        <v>364</v>
      </c>
      <c r="G98" s="5" t="s">
        <v>365</v>
      </c>
      <c r="H98" s="5" t="s">
        <v>366</v>
      </c>
      <c r="I98" s="5"/>
      <c r="J98" s="5" t="s">
        <v>37</v>
      </c>
      <c r="K98" s="5"/>
      <c r="L98" s="5" t="s">
        <v>38</v>
      </c>
    </row>
    <row r="99" customFormat="false" ht="46.25" hidden="false" customHeight="false" outlineLevel="0" collapsed="false">
      <c r="A99" s="5" t="s">
        <v>359</v>
      </c>
      <c r="B99" s="5" t="s">
        <v>367</v>
      </c>
      <c r="C99" s="5" t="s">
        <v>51</v>
      </c>
      <c r="D99" s="5" t="n">
        <v>4.6</v>
      </c>
      <c r="E99" s="5" t="n">
        <v>21</v>
      </c>
      <c r="F99" s="5"/>
      <c r="G99" s="5" t="s">
        <v>368</v>
      </c>
      <c r="H99" s="5" t="s">
        <v>369</v>
      </c>
      <c r="I99" s="5"/>
      <c r="J99" s="5" t="s">
        <v>37</v>
      </c>
      <c r="K99" s="5"/>
      <c r="L99" s="5" t="s">
        <v>38</v>
      </c>
    </row>
    <row r="100" customFormat="false" ht="23.85" hidden="false" customHeight="false" outlineLevel="0" collapsed="false">
      <c r="A100" s="5" t="s">
        <v>359</v>
      </c>
      <c r="B100" s="5" t="s">
        <v>370</v>
      </c>
      <c r="C100" s="5" t="s">
        <v>371</v>
      </c>
      <c r="D100" s="5" t="n">
        <v>3.7</v>
      </c>
      <c r="E100" s="5" t="n">
        <v>23</v>
      </c>
      <c r="F100" s="5"/>
      <c r="G100" s="5" t="s">
        <v>372</v>
      </c>
      <c r="H100" s="5" t="s">
        <v>373</v>
      </c>
      <c r="I100" s="5"/>
      <c r="J100" s="5" t="s">
        <v>37</v>
      </c>
      <c r="K100" s="5"/>
      <c r="L100" s="5" t="s">
        <v>38</v>
      </c>
    </row>
    <row r="101" customFormat="false" ht="35.05" hidden="false" customHeight="false" outlineLevel="0" collapsed="false">
      <c r="A101" s="5" t="s">
        <v>359</v>
      </c>
      <c r="B101" s="5" t="s">
        <v>374</v>
      </c>
      <c r="C101" s="5" t="s">
        <v>240</v>
      </c>
      <c r="D101" s="5" t="n">
        <v>4.6</v>
      </c>
      <c r="E101" s="5" t="n">
        <v>8</v>
      </c>
      <c r="F101" s="5"/>
      <c r="G101" s="5" t="s">
        <v>375</v>
      </c>
      <c r="H101" s="5" t="s">
        <v>376</v>
      </c>
      <c r="I101" s="5"/>
      <c r="J101" s="5" t="s">
        <v>37</v>
      </c>
      <c r="K101" s="5"/>
      <c r="L101" s="5" t="s">
        <v>38</v>
      </c>
    </row>
    <row r="102" customFormat="false" ht="35.05" hidden="false" customHeight="false" outlineLevel="0" collapsed="false">
      <c r="A102" s="5" t="s">
        <v>359</v>
      </c>
      <c r="B102" s="5" t="s">
        <v>377</v>
      </c>
      <c r="C102" s="5" t="s">
        <v>34</v>
      </c>
      <c r="D102" s="5" t="n">
        <v>4.4</v>
      </c>
      <c r="E102" s="5" t="n">
        <v>22</v>
      </c>
      <c r="F102" s="5" t="s">
        <v>47</v>
      </c>
      <c r="G102" s="5" t="s">
        <v>378</v>
      </c>
      <c r="H102" s="5" t="s">
        <v>379</v>
      </c>
      <c r="I102" s="5"/>
      <c r="J102" s="5" t="s">
        <v>37</v>
      </c>
      <c r="K102" s="5"/>
      <c r="L102" s="5" t="s">
        <v>38</v>
      </c>
    </row>
    <row r="103" customFormat="false" ht="35.05" hidden="false" customHeight="false" outlineLevel="0" collapsed="false">
      <c r="A103" s="5" t="s">
        <v>380</v>
      </c>
      <c r="B103" s="5" t="s">
        <v>381</v>
      </c>
      <c r="C103" s="5" t="s">
        <v>51</v>
      </c>
      <c r="D103" s="5" t="n">
        <v>3.9</v>
      </c>
      <c r="E103" s="5" t="n">
        <v>44</v>
      </c>
      <c r="F103" s="5"/>
      <c r="G103" s="5" t="s">
        <v>382</v>
      </c>
      <c r="H103" s="5" t="s">
        <v>383</v>
      </c>
      <c r="I103" s="5"/>
      <c r="J103" s="5" t="s">
        <v>37</v>
      </c>
      <c r="K103" s="5"/>
      <c r="L103" s="5" t="s">
        <v>38</v>
      </c>
    </row>
    <row r="104" customFormat="false" ht="35.05" hidden="false" customHeight="false" outlineLevel="0" collapsed="false">
      <c r="A104" s="5" t="s">
        <v>380</v>
      </c>
      <c r="B104" s="5" t="s">
        <v>384</v>
      </c>
      <c r="C104" s="5" t="s">
        <v>51</v>
      </c>
      <c r="D104" s="5" t="n">
        <v>4.4</v>
      </c>
      <c r="E104" s="5" t="n">
        <v>29</v>
      </c>
      <c r="F104" s="5" t="s">
        <v>63</v>
      </c>
      <c r="G104" s="5" t="s">
        <v>385</v>
      </c>
      <c r="H104" s="5" t="s">
        <v>386</v>
      </c>
      <c r="I104" s="5"/>
      <c r="J104" s="5" t="s">
        <v>37</v>
      </c>
      <c r="K104" s="5"/>
      <c r="L104" s="5" t="s">
        <v>38</v>
      </c>
    </row>
    <row r="105" customFormat="false" ht="23.85" hidden="false" customHeight="false" outlineLevel="0" collapsed="false">
      <c r="A105" s="5" t="s">
        <v>380</v>
      </c>
      <c r="B105" s="5" t="s">
        <v>387</v>
      </c>
      <c r="C105" s="5" t="s">
        <v>51</v>
      </c>
      <c r="D105" s="5" t="n">
        <v>4</v>
      </c>
      <c r="E105" s="5" t="n">
        <v>9</v>
      </c>
      <c r="F105" s="5"/>
      <c r="G105" s="5" t="s">
        <v>388</v>
      </c>
      <c r="H105" s="5" t="s">
        <v>389</v>
      </c>
      <c r="I105" s="5"/>
      <c r="J105" s="5" t="s">
        <v>37</v>
      </c>
      <c r="K105" s="5"/>
      <c r="L105" s="5" t="s">
        <v>38</v>
      </c>
    </row>
    <row r="106" customFormat="false" ht="35.05" hidden="false" customHeight="false" outlineLevel="0" collapsed="false">
      <c r="A106" s="5" t="s">
        <v>380</v>
      </c>
      <c r="B106" s="5" t="s">
        <v>390</v>
      </c>
      <c r="C106" s="5" t="s">
        <v>34</v>
      </c>
      <c r="D106" s="5" t="n">
        <v>4.3</v>
      </c>
      <c r="E106" s="5" t="n">
        <v>55</v>
      </c>
      <c r="F106" s="5" t="s">
        <v>47</v>
      </c>
      <c r="G106" s="5" t="s">
        <v>391</v>
      </c>
      <c r="H106" s="5" t="s">
        <v>392</v>
      </c>
      <c r="I106" s="5"/>
      <c r="J106" s="5" t="s">
        <v>37</v>
      </c>
      <c r="K106" s="5"/>
      <c r="L106" s="5" t="s">
        <v>38</v>
      </c>
    </row>
    <row r="107" customFormat="false" ht="46.25" hidden="false" customHeight="false" outlineLevel="0" collapsed="false">
      <c r="A107" s="5" t="s">
        <v>380</v>
      </c>
      <c r="B107" s="5" t="s">
        <v>393</v>
      </c>
      <c r="C107" s="5" t="s">
        <v>51</v>
      </c>
      <c r="D107" s="5" t="n">
        <v>4.4</v>
      </c>
      <c r="E107" s="5" t="n">
        <v>77</v>
      </c>
      <c r="F107" s="5"/>
      <c r="G107" s="5" t="s">
        <v>394</v>
      </c>
      <c r="H107" s="5" t="s">
        <v>395</v>
      </c>
      <c r="I107" s="5"/>
      <c r="J107" s="5" t="s">
        <v>37</v>
      </c>
      <c r="K107" s="5"/>
      <c r="L107" s="5" t="s">
        <v>38</v>
      </c>
    </row>
    <row r="108" customFormat="false" ht="35.05" hidden="false" customHeight="false" outlineLevel="0" collapsed="false">
      <c r="A108" s="5" t="s">
        <v>380</v>
      </c>
      <c r="B108" s="5" t="s">
        <v>396</v>
      </c>
      <c r="C108" s="5" t="s">
        <v>51</v>
      </c>
      <c r="D108" s="5" t="n">
        <v>5</v>
      </c>
      <c r="E108" s="5" t="n">
        <v>6</v>
      </c>
      <c r="F108" s="5"/>
      <c r="G108" s="5" t="s">
        <v>397</v>
      </c>
      <c r="H108" s="5" t="s">
        <v>398</v>
      </c>
      <c r="I108" s="5"/>
      <c r="J108" s="5" t="s">
        <v>37</v>
      </c>
      <c r="K108" s="5"/>
      <c r="L108" s="5" t="s">
        <v>38</v>
      </c>
    </row>
    <row r="109" customFormat="false" ht="35.05" hidden="false" customHeight="false" outlineLevel="0" collapsed="false">
      <c r="A109" s="5" t="s">
        <v>399</v>
      </c>
      <c r="B109" s="5" t="s">
        <v>400</v>
      </c>
      <c r="C109" s="5" t="s">
        <v>51</v>
      </c>
      <c r="D109" s="5" t="n">
        <v>4.3</v>
      </c>
      <c r="E109" s="5" t="n">
        <v>26</v>
      </c>
      <c r="F109" s="5"/>
      <c r="G109" s="5" t="s">
        <v>401</v>
      </c>
      <c r="H109" s="5" t="s">
        <v>402</v>
      </c>
      <c r="I109" s="5"/>
      <c r="J109" s="5" t="s">
        <v>37</v>
      </c>
      <c r="K109" s="5"/>
      <c r="L109" s="5" t="s">
        <v>38</v>
      </c>
    </row>
    <row r="110" customFormat="false" ht="23.85" hidden="false" customHeight="false" outlineLevel="0" collapsed="false">
      <c r="A110" s="5" t="s">
        <v>399</v>
      </c>
      <c r="B110" s="5" t="s">
        <v>403</v>
      </c>
      <c r="C110" s="5" t="s">
        <v>51</v>
      </c>
      <c r="D110" s="5" t="n">
        <v>3.9</v>
      </c>
      <c r="E110" s="5" t="n">
        <v>39</v>
      </c>
      <c r="F110" s="5"/>
      <c r="G110" s="5" t="s">
        <v>404</v>
      </c>
      <c r="H110" s="5" t="s">
        <v>405</v>
      </c>
      <c r="I110" s="5"/>
      <c r="J110" s="5" t="s">
        <v>37</v>
      </c>
      <c r="K110" s="5"/>
      <c r="L110" s="5" t="s">
        <v>38</v>
      </c>
    </row>
    <row r="111" customFormat="false" ht="35.05" hidden="false" customHeight="false" outlineLevel="0" collapsed="false">
      <c r="A111" s="5" t="s">
        <v>399</v>
      </c>
      <c r="B111" s="5" t="s">
        <v>406</v>
      </c>
      <c r="C111" s="5" t="s">
        <v>51</v>
      </c>
      <c r="D111" s="5" t="n">
        <v>3.6</v>
      </c>
      <c r="E111" s="5" t="n">
        <v>17</v>
      </c>
      <c r="F111" s="5"/>
      <c r="G111" s="5" t="s">
        <v>407</v>
      </c>
      <c r="H111" s="5" t="s">
        <v>408</v>
      </c>
      <c r="I111" s="5"/>
      <c r="J111" s="5" t="s">
        <v>37</v>
      </c>
      <c r="K111" s="5"/>
      <c r="L111" s="5" t="s">
        <v>38</v>
      </c>
    </row>
    <row r="112" customFormat="false" ht="23.85" hidden="false" customHeight="false" outlineLevel="0" collapsed="false">
      <c r="A112" s="5" t="s">
        <v>399</v>
      </c>
      <c r="B112" s="5" t="s">
        <v>409</v>
      </c>
      <c r="C112" s="5" t="s">
        <v>51</v>
      </c>
      <c r="D112" s="5" t="n">
        <v>4</v>
      </c>
      <c r="E112" s="5" t="n">
        <v>1</v>
      </c>
      <c r="F112" s="5"/>
      <c r="G112" s="5" t="s">
        <v>410</v>
      </c>
      <c r="H112" s="5" t="s">
        <v>411</v>
      </c>
      <c r="I112" s="5"/>
      <c r="J112" s="5" t="s">
        <v>37</v>
      </c>
      <c r="K112" s="5"/>
      <c r="L112" s="5" t="s">
        <v>38</v>
      </c>
    </row>
    <row r="113" customFormat="false" ht="23.85" hidden="false" customHeight="false" outlineLevel="0" collapsed="false">
      <c r="A113" s="5" t="s">
        <v>399</v>
      </c>
      <c r="B113" s="5" t="s">
        <v>412</v>
      </c>
      <c r="C113" s="5" t="s">
        <v>51</v>
      </c>
      <c r="D113" s="5" t="n">
        <v>3</v>
      </c>
      <c r="E113" s="5" t="n">
        <v>6</v>
      </c>
      <c r="F113" s="5"/>
      <c r="G113" s="5" t="s">
        <v>413</v>
      </c>
      <c r="H113" s="5" t="s">
        <v>414</v>
      </c>
      <c r="I113" s="5"/>
      <c r="J113" s="5" t="s">
        <v>37</v>
      </c>
      <c r="K113" s="5"/>
      <c r="L113" s="5" t="s">
        <v>38</v>
      </c>
    </row>
    <row r="114" customFormat="false" ht="46.25" hidden="false" customHeight="false" outlineLevel="0" collapsed="false">
      <c r="A114" s="5" t="s">
        <v>399</v>
      </c>
      <c r="B114" s="5" t="s">
        <v>415</v>
      </c>
      <c r="C114" s="5" t="s">
        <v>51</v>
      </c>
      <c r="D114" s="5" t="n">
        <v>3.6</v>
      </c>
      <c r="E114" s="5" t="n">
        <v>29</v>
      </c>
      <c r="F114" s="5"/>
      <c r="G114" s="5" t="s">
        <v>416</v>
      </c>
      <c r="H114" s="5" t="s">
        <v>417</v>
      </c>
      <c r="I114" s="5"/>
      <c r="J114" s="5" t="s">
        <v>37</v>
      </c>
      <c r="K114" s="5"/>
      <c r="L114" s="5" t="s">
        <v>38</v>
      </c>
    </row>
    <row r="115" customFormat="false" ht="23.85" hidden="false" customHeight="false" outlineLevel="0" collapsed="false">
      <c r="A115" s="5" t="s">
        <v>418</v>
      </c>
      <c r="B115" s="5" t="s">
        <v>419</v>
      </c>
      <c r="C115" s="5" t="s">
        <v>51</v>
      </c>
      <c r="D115" s="5" t="n">
        <v>4.9</v>
      </c>
      <c r="E115" s="5" t="n">
        <v>10</v>
      </c>
      <c r="F115" s="5"/>
      <c r="G115" s="5" t="s">
        <v>420</v>
      </c>
      <c r="H115" s="5" t="s">
        <v>421</v>
      </c>
      <c r="I115" s="5"/>
      <c r="J115" s="5" t="s">
        <v>37</v>
      </c>
      <c r="K115" s="5"/>
      <c r="L115" s="5" t="s">
        <v>38</v>
      </c>
    </row>
    <row r="116" customFormat="false" ht="46.25" hidden="false" customHeight="false" outlineLevel="0" collapsed="false">
      <c r="A116" s="5" t="s">
        <v>418</v>
      </c>
      <c r="B116" s="5" t="s">
        <v>422</v>
      </c>
      <c r="C116" s="5" t="s">
        <v>423</v>
      </c>
      <c r="D116" s="5" t="n">
        <v>3.4</v>
      </c>
      <c r="E116" s="5" t="n">
        <v>32</v>
      </c>
      <c r="F116" s="5"/>
      <c r="G116" s="5" t="s">
        <v>424</v>
      </c>
      <c r="H116" s="5" t="s">
        <v>425</v>
      </c>
      <c r="I116" s="5"/>
      <c r="J116" s="5" t="s">
        <v>37</v>
      </c>
      <c r="K116" s="5"/>
      <c r="L116" s="5" t="s">
        <v>38</v>
      </c>
    </row>
    <row r="117" customFormat="false" ht="46.25" hidden="false" customHeight="false" outlineLevel="0" collapsed="false">
      <c r="A117" s="5" t="s">
        <v>418</v>
      </c>
      <c r="B117" s="5" t="s">
        <v>426</v>
      </c>
      <c r="C117" s="5" t="s">
        <v>240</v>
      </c>
      <c r="D117" s="5" t="n">
        <v>5</v>
      </c>
      <c r="E117" s="5" t="n">
        <v>2</v>
      </c>
      <c r="F117" s="5"/>
      <c r="G117" s="5" t="s">
        <v>427</v>
      </c>
      <c r="H117" s="5" t="s">
        <v>428</v>
      </c>
      <c r="I117" s="5"/>
      <c r="J117" s="5" t="s">
        <v>37</v>
      </c>
      <c r="K117" s="5"/>
      <c r="L117" s="5" t="s">
        <v>38</v>
      </c>
    </row>
    <row r="118" customFormat="false" ht="23.85" hidden="false" customHeight="false" outlineLevel="0" collapsed="false">
      <c r="A118" s="5" t="s">
        <v>418</v>
      </c>
      <c r="B118" s="5" t="s">
        <v>429</v>
      </c>
      <c r="C118" s="5" t="s">
        <v>51</v>
      </c>
      <c r="D118" s="5" t="n">
        <v>5</v>
      </c>
      <c r="E118" s="5" t="n">
        <v>2</v>
      </c>
      <c r="F118" s="5"/>
      <c r="G118" s="5" t="s">
        <v>430</v>
      </c>
      <c r="H118" s="5" t="s">
        <v>431</v>
      </c>
      <c r="I118" s="5"/>
      <c r="J118" s="5" t="s">
        <v>37</v>
      </c>
      <c r="K118" s="5"/>
      <c r="L118" s="5" t="s">
        <v>38</v>
      </c>
    </row>
    <row r="119" customFormat="false" ht="35.05" hidden="false" customHeight="false" outlineLevel="0" collapsed="false">
      <c r="A119" s="5" t="s">
        <v>418</v>
      </c>
      <c r="B119" s="5" t="s">
        <v>432</v>
      </c>
      <c r="C119" s="5" t="s">
        <v>51</v>
      </c>
      <c r="D119" s="5" t="n">
        <v>5</v>
      </c>
      <c r="E119" s="5" t="n">
        <v>3</v>
      </c>
      <c r="F119" s="5"/>
      <c r="G119" s="5" t="s">
        <v>433</v>
      </c>
      <c r="H119" s="5" t="s">
        <v>434</v>
      </c>
      <c r="I119" s="5"/>
      <c r="J119" s="5" t="s">
        <v>37</v>
      </c>
      <c r="K119" s="5"/>
      <c r="L119" s="5" t="s">
        <v>38</v>
      </c>
    </row>
    <row r="120" customFormat="false" ht="35.05" hidden="false" customHeight="false" outlineLevel="0" collapsed="false">
      <c r="A120" s="5" t="s">
        <v>418</v>
      </c>
      <c r="B120" s="5" t="s">
        <v>435</v>
      </c>
      <c r="C120" s="5" t="s">
        <v>51</v>
      </c>
      <c r="D120" s="5" t="n">
        <v>3.9</v>
      </c>
      <c r="E120" s="5" t="n">
        <v>34</v>
      </c>
      <c r="F120" s="5" t="s">
        <v>63</v>
      </c>
      <c r="G120" s="5" t="s">
        <v>436</v>
      </c>
      <c r="H120" s="5" t="s">
        <v>437</v>
      </c>
      <c r="I120" s="5"/>
      <c r="J120" s="5" t="s">
        <v>37</v>
      </c>
      <c r="K120" s="5"/>
      <c r="L120" s="5" t="s">
        <v>38</v>
      </c>
    </row>
    <row r="121" customFormat="false" ht="35.05" hidden="false" customHeight="false" outlineLevel="0" collapsed="false">
      <c r="A121" s="5" t="s">
        <v>438</v>
      </c>
      <c r="B121" s="5" t="s">
        <v>439</v>
      </c>
      <c r="C121" s="5" t="s">
        <v>51</v>
      </c>
      <c r="D121" s="5" t="n">
        <v>4.1</v>
      </c>
      <c r="E121" s="5" t="n">
        <v>42</v>
      </c>
      <c r="F121" s="5"/>
      <c r="G121" s="5" t="s">
        <v>440</v>
      </c>
      <c r="H121" s="5" t="s">
        <v>441</v>
      </c>
      <c r="I121" s="5"/>
      <c r="J121" s="5" t="s">
        <v>37</v>
      </c>
      <c r="K121" s="5"/>
      <c r="L121" s="5" t="s">
        <v>38</v>
      </c>
    </row>
    <row r="122" customFormat="false" ht="35.05" hidden="false" customHeight="false" outlineLevel="0" collapsed="false">
      <c r="A122" s="5" t="s">
        <v>438</v>
      </c>
      <c r="B122" s="5" t="s">
        <v>442</v>
      </c>
      <c r="C122" s="5" t="s">
        <v>34</v>
      </c>
      <c r="D122" s="5" t="n">
        <v>3.5</v>
      </c>
      <c r="E122" s="5" t="n">
        <v>50</v>
      </c>
      <c r="F122" s="5"/>
      <c r="G122" s="5" t="s">
        <v>443</v>
      </c>
      <c r="H122" s="5" t="s">
        <v>444</v>
      </c>
      <c r="I122" s="5"/>
      <c r="J122" s="5" t="s">
        <v>37</v>
      </c>
      <c r="K122" s="5"/>
      <c r="L122" s="5" t="s">
        <v>38</v>
      </c>
    </row>
    <row r="123" customFormat="false" ht="23.85" hidden="false" customHeight="false" outlineLevel="0" collapsed="false">
      <c r="A123" s="5" t="s">
        <v>438</v>
      </c>
      <c r="B123" s="5" t="s">
        <v>445</v>
      </c>
      <c r="C123" s="5" t="s">
        <v>51</v>
      </c>
      <c r="D123" s="5" t="n">
        <v>4.1</v>
      </c>
      <c r="E123" s="5" t="n">
        <v>20</v>
      </c>
      <c r="F123" s="5"/>
      <c r="G123" s="5" t="s">
        <v>446</v>
      </c>
      <c r="H123" s="5" t="s">
        <v>447</v>
      </c>
      <c r="I123" s="5"/>
      <c r="J123" s="5" t="s">
        <v>37</v>
      </c>
      <c r="K123" s="5"/>
      <c r="L123" s="5" t="s">
        <v>38</v>
      </c>
    </row>
    <row r="124" customFormat="false" ht="23.85" hidden="false" customHeight="false" outlineLevel="0" collapsed="false">
      <c r="A124" s="5" t="s">
        <v>438</v>
      </c>
      <c r="B124" s="5" t="s">
        <v>448</v>
      </c>
      <c r="C124" s="5" t="s">
        <v>449</v>
      </c>
      <c r="D124" s="5" t="n">
        <v>4.6</v>
      </c>
      <c r="E124" s="5" t="n">
        <v>21</v>
      </c>
      <c r="F124" s="5"/>
      <c r="G124" s="5" t="s">
        <v>450</v>
      </c>
      <c r="H124" s="5" t="s">
        <v>451</v>
      </c>
      <c r="I124" s="5"/>
      <c r="J124" s="5" t="s">
        <v>37</v>
      </c>
      <c r="K124" s="5"/>
      <c r="L124" s="5" t="s">
        <v>38</v>
      </c>
    </row>
    <row r="125" customFormat="false" ht="46.25" hidden="false" customHeight="false" outlineLevel="0" collapsed="false">
      <c r="A125" s="5" t="s">
        <v>438</v>
      </c>
      <c r="B125" s="5" t="s">
        <v>452</v>
      </c>
      <c r="C125" s="5" t="s">
        <v>240</v>
      </c>
      <c r="D125" s="5" t="n">
        <v>3.5</v>
      </c>
      <c r="E125" s="5" t="n">
        <v>43</v>
      </c>
      <c r="F125" s="5"/>
      <c r="G125" s="5" t="s">
        <v>453</v>
      </c>
      <c r="H125" s="5" t="s">
        <v>454</v>
      </c>
      <c r="I125" s="5"/>
      <c r="J125" s="5" t="s">
        <v>37</v>
      </c>
      <c r="K125" s="5"/>
      <c r="L125" s="5" t="s">
        <v>38</v>
      </c>
    </row>
    <row r="126" customFormat="false" ht="35.05" hidden="false" customHeight="false" outlineLevel="0" collapsed="false">
      <c r="A126" s="5" t="s">
        <v>438</v>
      </c>
      <c r="B126" s="5" t="s">
        <v>455</v>
      </c>
      <c r="C126" s="5" t="s">
        <v>51</v>
      </c>
      <c r="D126" s="5" t="n">
        <v>4.5</v>
      </c>
      <c r="E126" s="5" t="n">
        <v>13</v>
      </c>
      <c r="F126" s="5"/>
      <c r="G126" s="5" t="s">
        <v>456</v>
      </c>
      <c r="H126" s="5" t="s">
        <v>457</v>
      </c>
      <c r="I126" s="5"/>
      <c r="J126" s="5" t="s">
        <v>37</v>
      </c>
      <c r="K126" s="5"/>
      <c r="L126" s="5" t="s">
        <v>38</v>
      </c>
    </row>
    <row r="127" customFormat="false" ht="46.25" hidden="false" customHeight="false" outlineLevel="0" collapsed="false">
      <c r="A127" s="5" t="s">
        <v>458</v>
      </c>
      <c r="B127" s="5" t="s">
        <v>459</v>
      </c>
      <c r="C127" s="5" t="s">
        <v>51</v>
      </c>
      <c r="D127" s="5" t="n">
        <v>3.9</v>
      </c>
      <c r="E127" s="5" t="n">
        <v>336</v>
      </c>
      <c r="F127" s="5"/>
      <c r="G127" s="5" t="s">
        <v>460</v>
      </c>
      <c r="H127" s="5" t="s">
        <v>461</v>
      </c>
      <c r="I127" s="5" t="s">
        <v>462</v>
      </c>
      <c r="J127" s="5" t="s">
        <v>37</v>
      </c>
      <c r="K127" s="5"/>
      <c r="L127" s="5" t="s">
        <v>38</v>
      </c>
    </row>
    <row r="128" customFormat="false" ht="35.05" hidden="false" customHeight="false" outlineLevel="0" collapsed="false">
      <c r="A128" s="5" t="s">
        <v>458</v>
      </c>
      <c r="B128" s="5" t="s">
        <v>463</v>
      </c>
      <c r="C128" s="5" t="s">
        <v>51</v>
      </c>
      <c r="D128" s="5" t="n">
        <v>4.8</v>
      </c>
      <c r="E128" s="5" t="n">
        <v>15</v>
      </c>
      <c r="F128" s="5"/>
      <c r="G128" s="5" t="s">
        <v>464</v>
      </c>
      <c r="H128" s="5" t="s">
        <v>465</v>
      </c>
      <c r="I128" s="5" t="s">
        <v>466</v>
      </c>
      <c r="J128" s="5" t="s">
        <v>37</v>
      </c>
      <c r="K128" s="5"/>
      <c r="L128" s="5" t="s">
        <v>38</v>
      </c>
    </row>
    <row r="129" customFormat="false" ht="46.25" hidden="false" customHeight="false" outlineLevel="0" collapsed="false">
      <c r="A129" s="5" t="s">
        <v>458</v>
      </c>
      <c r="B129" s="5" t="s">
        <v>467</v>
      </c>
      <c r="C129" s="5" t="s">
        <v>468</v>
      </c>
      <c r="D129" s="5" t="n">
        <v>4.2</v>
      </c>
      <c r="E129" s="5" t="n">
        <v>37</v>
      </c>
      <c r="F129" s="5"/>
      <c r="G129" s="5" t="s">
        <v>469</v>
      </c>
      <c r="H129" s="5" t="s">
        <v>470</v>
      </c>
      <c r="I129" s="5" t="s">
        <v>471</v>
      </c>
      <c r="J129" s="5" t="s">
        <v>37</v>
      </c>
      <c r="K129" s="5"/>
      <c r="L129" s="5" t="s">
        <v>38</v>
      </c>
    </row>
    <row r="130" customFormat="false" ht="46.25" hidden="false" customHeight="false" outlineLevel="0" collapsed="false">
      <c r="A130" s="5" t="s">
        <v>458</v>
      </c>
      <c r="B130" s="5" t="s">
        <v>472</v>
      </c>
      <c r="C130" s="5" t="s">
        <v>473</v>
      </c>
      <c r="D130" s="5" t="n">
        <v>3.7</v>
      </c>
      <c r="E130" s="5" t="n">
        <v>30</v>
      </c>
      <c r="F130" s="5"/>
      <c r="G130" s="5" t="s">
        <v>474</v>
      </c>
      <c r="H130" s="5" t="s">
        <v>475</v>
      </c>
      <c r="I130" s="5" t="s">
        <v>476</v>
      </c>
      <c r="J130" s="5" t="s">
        <v>37</v>
      </c>
      <c r="K130" s="5"/>
      <c r="L130" s="5" t="s">
        <v>38</v>
      </c>
    </row>
    <row r="131" customFormat="false" ht="46.25" hidden="false" customHeight="false" outlineLevel="0" collapsed="false">
      <c r="A131" s="5" t="s">
        <v>458</v>
      </c>
      <c r="B131" s="5" t="s">
        <v>477</v>
      </c>
      <c r="C131" s="5" t="s">
        <v>51</v>
      </c>
      <c r="D131" s="5" t="n">
        <v>3.9</v>
      </c>
      <c r="E131" s="5" t="n">
        <v>72</v>
      </c>
      <c r="F131" s="5"/>
      <c r="G131" s="5" t="s">
        <v>478</v>
      </c>
      <c r="H131" s="5" t="s">
        <v>479</v>
      </c>
      <c r="I131" s="5" t="s">
        <v>480</v>
      </c>
      <c r="J131" s="5" t="s">
        <v>37</v>
      </c>
      <c r="K131" s="5"/>
      <c r="L131" s="5" t="s">
        <v>38</v>
      </c>
    </row>
    <row r="132" customFormat="false" ht="35.05" hidden="false" customHeight="false" outlineLevel="0" collapsed="false">
      <c r="A132" s="5" t="s">
        <v>458</v>
      </c>
      <c r="B132" s="5" t="s">
        <v>481</v>
      </c>
      <c r="C132" s="5" t="s">
        <v>51</v>
      </c>
      <c r="D132" s="5" t="n">
        <v>4.4</v>
      </c>
      <c r="E132" s="5" t="n">
        <v>24</v>
      </c>
      <c r="F132" s="5"/>
      <c r="G132" s="5" t="s">
        <v>482</v>
      </c>
      <c r="H132" s="5" t="s">
        <v>483</v>
      </c>
      <c r="I132" s="5" t="s">
        <v>484</v>
      </c>
      <c r="J132" s="5" t="s">
        <v>37</v>
      </c>
      <c r="K132" s="5"/>
      <c r="L132" s="5" t="s">
        <v>38</v>
      </c>
    </row>
    <row r="133" customFormat="false" ht="35.05" hidden="false" customHeight="false" outlineLevel="0" collapsed="false">
      <c r="A133" s="5" t="s">
        <v>458</v>
      </c>
      <c r="B133" s="5" t="s">
        <v>485</v>
      </c>
      <c r="C133" s="5" t="s">
        <v>51</v>
      </c>
      <c r="D133" s="5" t="n">
        <v>3.5</v>
      </c>
      <c r="E133" s="5" t="n">
        <v>231</v>
      </c>
      <c r="F133" s="5" t="s">
        <v>47</v>
      </c>
      <c r="G133" s="5" t="s">
        <v>486</v>
      </c>
      <c r="H133" s="5" t="s">
        <v>487</v>
      </c>
      <c r="I133" s="5" t="s">
        <v>488</v>
      </c>
      <c r="J133" s="5" t="s">
        <v>37</v>
      </c>
      <c r="K133" s="5"/>
      <c r="L133" s="5" t="s">
        <v>38</v>
      </c>
    </row>
    <row r="134" customFormat="false" ht="35.05" hidden="false" customHeight="false" outlineLevel="0" collapsed="false">
      <c r="A134" s="5" t="s">
        <v>458</v>
      </c>
      <c r="B134" s="5" t="s">
        <v>489</v>
      </c>
      <c r="C134" s="5" t="s">
        <v>51</v>
      </c>
      <c r="D134" s="5" t="n">
        <v>3.3</v>
      </c>
      <c r="E134" s="5" t="n">
        <v>175</v>
      </c>
      <c r="F134" s="5" t="s">
        <v>73</v>
      </c>
      <c r="G134" s="5" t="s">
        <v>490</v>
      </c>
      <c r="H134" s="5" t="s">
        <v>491</v>
      </c>
      <c r="I134" s="5" t="s">
        <v>492</v>
      </c>
      <c r="J134" s="5" t="s">
        <v>37</v>
      </c>
      <c r="K134" s="5"/>
      <c r="L134" s="5" t="s">
        <v>38</v>
      </c>
    </row>
    <row r="135" customFormat="false" ht="35.05" hidden="false" customHeight="false" outlineLevel="0" collapsed="false">
      <c r="A135" s="5" t="s">
        <v>458</v>
      </c>
      <c r="B135" s="5" t="s">
        <v>493</v>
      </c>
      <c r="C135" s="5" t="s">
        <v>468</v>
      </c>
      <c r="D135" s="5" t="n">
        <v>4.1</v>
      </c>
      <c r="E135" s="5" t="n">
        <v>54</v>
      </c>
      <c r="F135" s="5"/>
      <c r="G135" s="5" t="s">
        <v>494</v>
      </c>
      <c r="H135" s="5" t="s">
        <v>495</v>
      </c>
      <c r="I135" s="5" t="s">
        <v>496</v>
      </c>
      <c r="J135" s="5" t="s">
        <v>37</v>
      </c>
      <c r="K135" s="5"/>
      <c r="L135" s="5" t="s">
        <v>38</v>
      </c>
    </row>
  </sheetData>
  <autoFilter ref="A1:L135"/>
  <dataValidations count="1">
    <dataValidation allowBlank="true" errorStyle="stop" operator="between" showDropDown="false" showErrorMessage="false" showInputMessage="false" sqref="J2:J135" type="list">
      <formula1>"لید جدید,در حال تماس,علاقه‌مند,رد شد,مشتری شد"</formula1>
      <formula2>0</formula2>
    </dataValidation>
  </dataValidation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C23"/>
  <sheetViews>
    <sheetView showFormulas="false" showGridLines="true" showRowColHeaders="true" showZeros="true" rightToLeft="tru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0"/>
    <col collapsed="false" customWidth="true" hidden="false" outlineLevel="0" max="2" min="2" style="0" width="12"/>
    <col collapsed="false" customWidth="true" hidden="false" outlineLevel="0" max="3" min="3" style="0" width="16"/>
  </cols>
  <sheetData>
    <row r="1" customFormat="false" ht="15" hidden="false" customHeight="false" outlineLevel="0" collapsed="false">
      <c r="A1" s="6" t="s">
        <v>20</v>
      </c>
      <c r="B1" s="6" t="s">
        <v>497</v>
      </c>
      <c r="C1" s="6" t="s">
        <v>498</v>
      </c>
    </row>
    <row r="2" customFormat="false" ht="15" hidden="false" customHeight="false" outlineLevel="0" collapsed="false">
      <c r="A2" s="7" t="s">
        <v>32</v>
      </c>
      <c r="B2" s="7" t="n">
        <f aca="false">COUNTIF(لیدها!A2:A135,A2)</f>
        <v>6</v>
      </c>
      <c r="C2" s="7" t="n">
        <f aca="false">IFERROR(ROUND(AVERAGEIF(لیدها!A2:A135,A2,لیدها!D2:D135),2),"-")</f>
        <v>3.97</v>
      </c>
    </row>
    <row r="3" customFormat="false" ht="15" hidden="false" customHeight="false" outlineLevel="0" collapsed="false">
      <c r="A3" s="7" t="s">
        <v>57</v>
      </c>
      <c r="B3" s="7" t="n">
        <f aca="false">COUNTIF(لیدها!A2:A135,A3)</f>
        <v>6</v>
      </c>
      <c r="C3" s="7" t="n">
        <f aca="false">IFERROR(ROUND(AVERAGEIF(لیدها!A2:A135,A3,لیدها!D2:D135),2),"-")</f>
        <v>3.9</v>
      </c>
    </row>
    <row r="4" customFormat="false" ht="15" hidden="false" customHeight="false" outlineLevel="0" collapsed="false">
      <c r="A4" s="7" t="s">
        <v>80</v>
      </c>
      <c r="B4" s="7" t="n">
        <f aca="false">COUNTIF(لیدها!A2:A135,A4)</f>
        <v>6</v>
      </c>
      <c r="C4" s="7" t="n">
        <f aca="false">IFERROR(ROUND(AVERAGEIF(لیدها!A2:A135,A4,لیدها!D2:D135),2),"-")</f>
        <v>4.23</v>
      </c>
    </row>
    <row r="5" customFormat="false" ht="15" hidden="false" customHeight="false" outlineLevel="0" collapsed="false">
      <c r="A5" s="7" t="s">
        <v>103</v>
      </c>
      <c r="B5" s="7" t="n">
        <f aca="false">COUNTIF(لیدها!A2:A135,A5)</f>
        <v>6</v>
      </c>
      <c r="C5" s="7" t="n">
        <f aca="false">IFERROR(ROUND(AVERAGEIF(لیدها!A2:A135,A5,لیدها!D2:D135),2),"-")</f>
        <v>3.82</v>
      </c>
    </row>
    <row r="6" customFormat="false" ht="15" hidden="false" customHeight="false" outlineLevel="0" collapsed="false">
      <c r="A6" s="7" t="s">
        <v>123</v>
      </c>
      <c r="B6" s="7" t="n">
        <f aca="false">COUNTIF(لیدها!A2:A135,A6)</f>
        <v>6</v>
      </c>
      <c r="C6" s="7" t="n">
        <f aca="false">IFERROR(ROUND(AVERAGEIF(لیدها!A2:A135,A6,لیدها!D2:D135),2),"-")</f>
        <v>4.13</v>
      </c>
    </row>
    <row r="7" customFormat="false" ht="15" hidden="false" customHeight="false" outlineLevel="0" collapsed="false">
      <c r="A7" s="7" t="s">
        <v>144</v>
      </c>
      <c r="B7" s="7" t="n">
        <f aca="false">COUNTIF(لیدها!A2:A135,A7)</f>
        <v>6</v>
      </c>
      <c r="C7" s="7" t="n">
        <f aca="false">IFERROR(ROUND(AVERAGEIF(لیدها!A2:A135,A7,لیدها!D2:D135),2),"-")</f>
        <v>4.22</v>
      </c>
    </row>
    <row r="8" customFormat="false" ht="15" hidden="false" customHeight="false" outlineLevel="0" collapsed="false">
      <c r="A8" s="7" t="s">
        <v>163</v>
      </c>
      <c r="B8" s="7" t="n">
        <f aca="false">COUNTIF(لیدها!A2:A135,A8)</f>
        <v>6</v>
      </c>
      <c r="C8" s="7" t="n">
        <f aca="false">IFERROR(ROUND(AVERAGEIF(لیدها!A2:A135,A8,لیدها!D2:D135),2),"-")</f>
        <v>4.2</v>
      </c>
    </row>
    <row r="9" customFormat="false" ht="15" hidden="false" customHeight="false" outlineLevel="0" collapsed="false">
      <c r="A9" s="7" t="s">
        <v>181</v>
      </c>
      <c r="B9" s="7" t="n">
        <f aca="false">COUNTIF(لیدها!A2:A135,A9)</f>
        <v>6</v>
      </c>
      <c r="C9" s="7" t="n">
        <f aca="false">IFERROR(ROUND(AVERAGEIF(لیدها!A2:A135,A9,لیدها!D2:D135),2),"-")</f>
        <v>4.23</v>
      </c>
    </row>
    <row r="10" customFormat="false" ht="15" hidden="false" customHeight="false" outlineLevel="0" collapsed="false">
      <c r="A10" s="7" t="s">
        <v>201</v>
      </c>
      <c r="B10" s="7" t="n">
        <f aca="false">COUNTIF(لیدها!A2:A135,A10)</f>
        <v>6</v>
      </c>
      <c r="C10" s="7" t="n">
        <f aca="false">IFERROR(ROUND(AVERAGEIF(لیدها!A2:A135,A10,لیدها!D2:D135),2),"-")</f>
        <v>4.48</v>
      </c>
    </row>
    <row r="11" customFormat="false" ht="15" hidden="false" customHeight="false" outlineLevel="0" collapsed="false">
      <c r="A11" s="7" t="s">
        <v>221</v>
      </c>
      <c r="B11" s="7" t="n">
        <f aca="false">COUNTIF(لیدها!A2:A135,A11)</f>
        <v>6</v>
      </c>
      <c r="C11" s="7" t="n">
        <f aca="false">IFERROR(ROUND(AVERAGEIF(لیدها!A2:A135,A11,لیدها!D2:D135),2),"-")</f>
        <v>3.75</v>
      </c>
    </row>
    <row r="12" customFormat="false" ht="15" hidden="false" customHeight="false" outlineLevel="0" collapsed="false">
      <c r="A12" s="7" t="s">
        <v>243</v>
      </c>
      <c r="B12" s="7" t="n">
        <f aca="false">COUNTIF(لیدها!A2:A135,A12)</f>
        <v>6</v>
      </c>
      <c r="C12" s="7" t="n">
        <f aca="false">IFERROR(ROUND(AVERAGEIF(لیدها!A2:A135,A12,لیدها!D2:D135),2),"-")</f>
        <v>4.03</v>
      </c>
    </row>
    <row r="13" customFormat="false" ht="15" hidden="false" customHeight="false" outlineLevel="0" collapsed="false">
      <c r="A13" s="7" t="s">
        <v>262</v>
      </c>
      <c r="B13" s="7" t="n">
        <f aca="false">COUNTIF(لیدها!A2:A135,A13)</f>
        <v>6</v>
      </c>
      <c r="C13" s="7" t="n">
        <f aca="false">IFERROR(ROUND(AVERAGEIF(لیدها!A2:A135,A13,لیدها!D2:D135),2),"-")</f>
        <v>4.23</v>
      </c>
    </row>
    <row r="14" customFormat="false" ht="15" hidden="false" customHeight="false" outlineLevel="0" collapsed="false">
      <c r="A14" s="7" t="s">
        <v>282</v>
      </c>
      <c r="B14" s="7" t="n">
        <f aca="false">COUNTIF(لیدها!A2:A135,A14)</f>
        <v>6</v>
      </c>
      <c r="C14" s="7" t="n">
        <f aca="false">IFERROR(ROUND(AVERAGEIF(لیدها!A2:A135,A14,لیدها!D2:D135),2),"-")</f>
        <v>3.83</v>
      </c>
    </row>
    <row r="15" customFormat="false" ht="15" hidden="false" customHeight="false" outlineLevel="0" collapsed="false">
      <c r="A15" s="7" t="s">
        <v>301</v>
      </c>
      <c r="B15" s="7" t="n">
        <f aca="false">COUNTIF(لیدها!A2:A135,A15)</f>
        <v>6</v>
      </c>
      <c r="C15" s="7" t="n">
        <f aca="false">IFERROR(ROUND(AVERAGEIF(لیدها!A2:A135,A15,لیدها!D2:D135),2),"-")</f>
        <v>4.32</v>
      </c>
    </row>
    <row r="16" customFormat="false" ht="15" hidden="false" customHeight="false" outlineLevel="0" collapsed="false">
      <c r="A16" s="7" t="s">
        <v>320</v>
      </c>
      <c r="B16" s="7" t="n">
        <f aca="false">COUNTIF(لیدها!A2:A135,A16)</f>
        <v>5</v>
      </c>
      <c r="C16" s="7" t="n">
        <f aca="false">IFERROR(ROUND(AVERAGEIF(لیدها!A2:A135,A16,لیدها!D2:D135),2),"-")</f>
        <v>4.2</v>
      </c>
    </row>
    <row r="17" customFormat="false" ht="15" hidden="false" customHeight="false" outlineLevel="0" collapsed="false">
      <c r="A17" s="7" t="s">
        <v>339</v>
      </c>
      <c r="B17" s="7" t="n">
        <f aca="false">COUNTIF(لیدها!A2:A135,A17)</f>
        <v>6</v>
      </c>
      <c r="C17" s="7" t="n">
        <f aca="false">IFERROR(ROUND(AVERAGEIF(لیدها!A2:A135,A17,لیدها!D2:D135),2),"-")</f>
        <v>3.75</v>
      </c>
    </row>
    <row r="18" customFormat="false" ht="15" hidden="false" customHeight="false" outlineLevel="0" collapsed="false">
      <c r="A18" s="7" t="s">
        <v>359</v>
      </c>
      <c r="B18" s="7" t="n">
        <f aca="false">COUNTIF(لیدها!A2:A135,A18)</f>
        <v>6</v>
      </c>
      <c r="C18" s="7" t="n">
        <f aca="false">IFERROR(ROUND(AVERAGEIF(لیدها!A2:A135,A18,لیدها!D2:D135),2),"-")</f>
        <v>4.23</v>
      </c>
    </row>
    <row r="19" customFormat="false" ht="15" hidden="false" customHeight="false" outlineLevel="0" collapsed="false">
      <c r="A19" s="7" t="s">
        <v>380</v>
      </c>
      <c r="B19" s="7" t="n">
        <f aca="false">COUNTIF(لیدها!A2:A135,A19)</f>
        <v>6</v>
      </c>
      <c r="C19" s="7" t="n">
        <f aca="false">IFERROR(ROUND(AVERAGEIF(لیدها!A2:A135,A19,لیدها!D2:D135),2),"-")</f>
        <v>4.33</v>
      </c>
    </row>
    <row r="20" customFormat="false" ht="15" hidden="false" customHeight="false" outlineLevel="0" collapsed="false">
      <c r="A20" s="7" t="s">
        <v>399</v>
      </c>
      <c r="B20" s="7" t="n">
        <f aca="false">COUNTIF(لیدها!A2:A135,A20)</f>
        <v>6</v>
      </c>
      <c r="C20" s="7" t="n">
        <f aca="false">IFERROR(ROUND(AVERAGEIF(لیدها!A2:A135,A20,لیدها!D2:D135),2),"-")</f>
        <v>3.73</v>
      </c>
    </row>
    <row r="21" customFormat="false" ht="15" hidden="false" customHeight="false" outlineLevel="0" collapsed="false">
      <c r="A21" s="7" t="s">
        <v>418</v>
      </c>
      <c r="B21" s="7" t="n">
        <f aca="false">COUNTIF(لیدها!A2:A135,A21)</f>
        <v>6</v>
      </c>
      <c r="C21" s="7" t="n">
        <f aca="false">IFERROR(ROUND(AVERAGEIF(لیدها!A2:A135,A21,لیدها!D2:D135),2),"-")</f>
        <v>4.53</v>
      </c>
    </row>
    <row r="22" customFormat="false" ht="15" hidden="false" customHeight="false" outlineLevel="0" collapsed="false">
      <c r="A22" s="7" t="s">
        <v>438</v>
      </c>
      <c r="B22" s="7" t="n">
        <f aca="false">COUNTIF(لیدها!A2:A135,A22)</f>
        <v>6</v>
      </c>
      <c r="C22" s="7" t="n">
        <f aca="false">IFERROR(ROUND(AVERAGEIF(لیدها!A2:A135,A22,لیدها!D2:D135),2),"-")</f>
        <v>4.05</v>
      </c>
    </row>
    <row r="23" customFormat="false" ht="15" hidden="false" customHeight="false" outlineLevel="0" collapsed="false">
      <c r="A23" s="7" t="s">
        <v>458</v>
      </c>
      <c r="B23" s="7" t="n">
        <f aca="false">COUNTIF(لیدها!A2:A135,A23)</f>
        <v>9</v>
      </c>
      <c r="C23" s="7" t="n">
        <f aca="false">IFERROR(ROUND(AVERAGEIF(لیدها!A2:A135,A23,لیدها!D2:D135),2),"-")</f>
        <v>3.98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2026-08-27T08:45:50Z</dcterms:created>
  <dc:creator>openpyxl</dc:creator>
  <dc:description/>
  <dc:language>en-US</dc:language>
  <cp:lastModifiedBy/>
  <dcterms:modified xsi:type="dcterms:W3CDTF">2026-08-27T08:45:50Z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